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  <Override PartName="/xl/tables/table12.xml" ContentType="application/vnd.openxmlformats-officedocument.spreadsheetml.table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tables/table13.xml" ContentType="application/vnd.openxmlformats-officedocument.spreadsheetml.table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0_Guia_de_Uso" sheetId="1" state="visible" r:id="rId1"/>
    <sheet xmlns:r="http://schemas.openxmlformats.org/officeDocument/2006/relationships" name="00_Dashboard" sheetId="2" state="visible" r:id="rId2"/>
    <sheet xmlns:r="http://schemas.openxmlformats.org/officeDocument/2006/relationships" name="00_Control" sheetId="3" state="visible" r:id="rId3"/>
    <sheet xmlns:r="http://schemas.openxmlformats.org/officeDocument/2006/relationships" name="01_Content_Raw" sheetId="4" state="visible" r:id="rId4"/>
    <sheet xmlns:r="http://schemas.openxmlformats.org/officeDocument/2006/relationships" name="02_Audience" sheetId="5" state="visible" r:id="rId5"/>
    <sheet xmlns:r="http://schemas.openxmlformats.org/officeDocument/2006/relationships" name="03_Paid_Media" sheetId="6" state="visible" r:id="rId6"/>
    <sheet xmlns:r="http://schemas.openxmlformats.org/officeDocument/2006/relationships" name="04_Squad" sheetId="7" state="visible" r:id="rId7"/>
    <sheet xmlns:r="http://schemas.openxmlformats.org/officeDocument/2006/relationships" name="05_MMPP" sheetId="8" state="visible" r:id="rId8"/>
    <sheet xmlns:r="http://schemas.openxmlformats.org/officeDocument/2006/relationships" name="06_Competencia" sheetId="9" state="visible" r:id="rId9"/>
    <sheet xmlns:r="http://schemas.openxmlformats.org/officeDocument/2006/relationships" name="07_Insights" sheetId="10" state="visible" r:id="rId10"/>
    <sheet xmlns:r="http://schemas.openxmlformats.org/officeDocument/2006/relationships" name="08_Recomendaciones" sheetId="11" state="visible" r:id="rId11"/>
    <sheet xmlns:r="http://schemas.openxmlformats.org/officeDocument/2006/relationships" name="09_Validaciones" sheetId="12" state="visible" r:id="rId12"/>
    <sheet xmlns:r="http://schemas.openxmlformats.org/officeDocument/2006/relationships" name="10_PPT_Mapping" sheetId="13" state="visible" r:id="rId13"/>
    <sheet xmlns:r="http://schemas.openxmlformats.org/officeDocument/2006/relationships" name="11_Diccionario" sheetId="14" state="visible" r:id="rId14"/>
    <sheet xmlns:r="http://schemas.openxmlformats.org/officeDocument/2006/relationships" name="12_Chart_Data" sheetId="15" state="visible" r:id="rId15"/>
    <sheet xmlns:r="http://schemas.openxmlformats.org/officeDocument/2006/relationships" name="13_Platform_KPIs" sheetId="16" state="visible" r:id="rId16"/>
    <sheet xmlns:r="http://schemas.openxmlformats.org/officeDocument/2006/relationships" name="14_Mapa_Slide_por_Slide" sheetId="17" state="visible" r:id="rId17"/>
    <sheet xmlns:r="http://schemas.openxmlformats.org/officeDocument/2006/relationships" name="15_Checklist_Generacion" sheetId="18" state="visible" r:id="rId18"/>
  </sheets>
  <definedNames/>
</workbook>
</file>

<file path=xl/styles.xml><?xml version="1.0" encoding="utf-8"?>
<styleSheet xmlns="http://schemas.openxmlformats.org/spreadsheetml/2006/main">
  <numFmts count="2">
    <numFmt numFmtId="164" formatCode="0.0"/>
    <numFmt numFmtId="165" formatCode="$#,##0"/>
  </numFmts>
  <fonts count="16">
    <font>
      <name val="Carlito"/>
      <sz val="11"/>
    </font>
    <font>
      <name val="Carlito"/>
      <b val="1"/>
      <color rgb="00FFFFFF"/>
      <sz val="16"/>
    </font>
    <font>
      <name val="Carlito"/>
      <i val="1"/>
      <color rgb="00666666"/>
      <sz val="10"/>
    </font>
    <font>
      <name val="Carlito"/>
      <b val="1"/>
      <color rgb="000B1026"/>
      <sz val="11"/>
    </font>
    <font>
      <name val="Carlito"/>
      <b val="1"/>
      <color rgb="00FFFFFF"/>
      <sz val="11"/>
    </font>
    <font>
      <b val="1"/>
      <color rgb="00E6007E"/>
      <sz val="20"/>
    </font>
    <font>
      <color rgb="004B5563"/>
      <sz val="11"/>
    </font>
    <font>
      <b val="1"/>
      <color rgb="00FFFFFF"/>
    </font>
    <font>
      <b val="1"/>
      <color rgb="00111827"/>
      <sz val="14"/>
    </font>
    <font>
      <b val="1"/>
      <color rgb="00E6007E"/>
      <sz val="14"/>
    </font>
    <font>
      <b val="1"/>
      <color rgb="000F172A"/>
      <sz val="18"/>
    </font>
    <font>
      <color rgb="006B7280"/>
      <sz val="11"/>
    </font>
    <font>
      <b val="1"/>
      <color rgb="00E6007E"/>
      <sz val="12"/>
    </font>
    <font>
      <color rgb="006B7280"/>
    </font>
    <font>
      <b val="1"/>
      <color rgb="000F172A"/>
      <sz val="12"/>
    </font>
    <font>
      <b val="1"/>
      <color rgb="00E6007E"/>
    </font>
  </fonts>
  <fills count="10">
    <fill>
      <patternFill/>
    </fill>
    <fill>
      <patternFill patternType="gray125"/>
    </fill>
    <fill>
      <patternFill patternType="solid">
        <fgColor rgb="000B1026"/>
      </patternFill>
    </fill>
    <fill>
      <patternFill patternType="solid">
        <fgColor rgb="00F7F7FA"/>
      </patternFill>
    </fill>
    <fill>
      <patternFill patternType="solid">
        <fgColor rgb="00EC008C"/>
      </patternFill>
    </fill>
    <fill>
      <patternFill patternType="solid">
        <fgColor rgb="00DC2626"/>
      </patternFill>
    </fill>
    <fill>
      <patternFill patternType="solid">
        <fgColor rgb="00E6007E"/>
      </patternFill>
    </fill>
    <fill>
      <patternFill patternType="solid">
        <fgColor rgb="00FAFAFA"/>
      </patternFill>
    </fill>
    <fill>
      <patternFill patternType="solid">
        <fgColor rgb="00DCFCE7"/>
      </patternFill>
    </fill>
    <fill>
      <patternFill patternType="solid">
        <fgColor rgb="006C5CE7"/>
      </patternFill>
    </fill>
  </fills>
  <borders count="30">
    <border/>
    <border/>
    <border>
      <right>
        <color rgb="00DDDDDD"/>
      </right>
      <bottom>
        <color rgb="00DDDDDD"/>
      </bottom>
    </border>
    <border>
      <left>
        <color rgb="00DDDDDD"/>
      </left>
      <right>
        <color rgb="00DDDDDD"/>
      </right>
      <bottom>
        <color rgb="00DDDDDD"/>
      </bottom>
    </border>
    <border>
      <left>
        <color rgb="00DDDDDD"/>
      </left>
      <bottom>
        <color rgb="00DDDDDD"/>
      </bottom>
    </border>
    <border>
      <right>
        <color rgb="00DDDDDD"/>
      </right>
      <top>
        <color rgb="00DDDDDD"/>
      </top>
      <bottom>
        <color rgb="00DDDDDD"/>
      </bottom>
    </border>
    <border>
      <left>
        <color rgb="00DDDDDD"/>
      </left>
      <right>
        <color rgb="00DDDDDD"/>
      </right>
      <top>
        <color rgb="00DDDDDD"/>
      </top>
      <bottom>
        <color rgb="00DDDDDD"/>
      </bottom>
    </border>
    <border>
      <left>
        <color rgb="00DDDDDD"/>
      </left>
      <top>
        <color rgb="00DDDDDD"/>
      </top>
      <bottom>
        <color rgb="00DDDDDD"/>
      </bottom>
    </border>
    <border>
      <right>
        <color rgb="00DDDDDD"/>
      </right>
      <top>
        <color rgb="00DDDDDD"/>
      </top>
    </border>
    <border>
      <left>
        <color rgb="00DDDDDD"/>
      </left>
      <right>
        <color rgb="00DDDDDD"/>
      </right>
      <top>
        <color rgb="00DDDDDD"/>
      </top>
    </border>
    <border>
      <left>
        <color rgb="00DDDDDD"/>
      </left>
      <top>
        <color rgb="00DDDDDD"/>
      </top>
    </border>
    <border>
      <right>
        <color rgb="00DDDDDD"/>
      </right>
      <bottom>
        <color rgb="00DDDDDD"/>
      </bottom>
    </border>
    <border>
      <left>
        <color rgb="00DDDDDD"/>
      </left>
      <right>
        <color rgb="00DDDDDD"/>
      </right>
      <bottom>
        <color rgb="00DDDDDD"/>
      </bottom>
    </border>
    <border>
      <left>
        <color rgb="00DDDDDD"/>
      </left>
      <bottom>
        <color rgb="00DDDDDD"/>
      </bottom>
    </border>
    <border>
      <right>
        <color rgb="00DDDDDD"/>
      </right>
      <top>
        <color rgb="00DDDDDD"/>
      </top>
      <bottom>
        <color rgb="00DDDDDD"/>
      </bottom>
    </border>
    <border>
      <left>
        <color rgb="00DDDDDD"/>
      </left>
      <right>
        <color rgb="00DDDDDD"/>
      </right>
      <top>
        <color rgb="00DDDDDD"/>
      </top>
      <bottom>
        <color rgb="00DDDDDD"/>
      </bottom>
    </border>
    <border>
      <left>
        <color rgb="00DDDDDD"/>
      </left>
      <top>
        <color rgb="00DDDDDD"/>
      </top>
      <bottom>
        <color rgb="00DDDDDD"/>
      </bottom>
    </border>
    <border>
      <right>
        <color rgb="00DDDDDD"/>
      </right>
      <top>
        <color rgb="00DDDDDD"/>
      </top>
    </border>
    <border>
      <left>
        <color rgb="00DDDDDD"/>
      </left>
      <right>
        <color rgb="00DDDDDD"/>
      </right>
      <top>
        <color rgb="00DDDDDD"/>
      </top>
    </border>
    <border>
      <left>
        <color rgb="00DDDDDD"/>
      </left>
      <top>
        <color rgb="00DDDDDD"/>
      </top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  <border>
      <top style="thin">
        <color rgb="00E5E7EB"/>
      </top>
    </border>
    <border>
      <left style="thin">
        <color rgb="00E5E7EB"/>
      </left>
    </border>
    <border>
      <right style="thin">
        <color rgb="00E5E7EB"/>
      </right>
      <top style="thin">
        <color rgb="00E5E7EB"/>
      </top>
    </border>
    <border>
      <right style="thin">
        <color rgb="00E5E7EB"/>
      </right>
    </border>
    <border>
      <left style="thin">
        <color rgb="00E5E7EB"/>
      </left>
      <bottom style="thin">
        <color rgb="00E5E7EB"/>
      </bottom>
    </border>
    <border>
      <bottom style="thin">
        <color rgb="00E5E7EB"/>
      </bottom>
    </border>
    <border>
      <right style="thin">
        <color rgb="00E5E7EB"/>
      </right>
      <bottom style="thin">
        <color rgb="00E5E7EB"/>
      </bottom>
    </border>
    <border>
      <top style="thin">
        <color rgb="00E5E7EB"/>
      </top>
      <bottom style="thin">
        <color rgb="00E5E7EB"/>
      </bottom>
    </border>
    <border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1"/>
  </cellStyleXfs>
  <cellXfs count="14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horizontal="left"/>
    </xf>
    <xf numFmtId="0" fontId="2" fillId="3" borderId="0" applyAlignment="1" pivotButton="0" quotePrefix="0" xfId="0">
      <alignment horizontal="left" vertical="center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horizontal="left"/>
    </xf>
    <xf numFmtId="0" fontId="2" fillId="3" borderId="1" applyAlignment="1" pivotButton="0" quotePrefix="0" xfId="0">
      <alignment horizontal="left" vertical="center"/>
    </xf>
    <xf numFmtId="0" fontId="3" fillId="3" borderId="0" pivotButton="0" quotePrefix="0" xfId="0"/>
    <xf numFmtId="0" fontId="3" fillId="3" borderId="1" pivotButton="0" quotePrefix="0" xfId="0"/>
    <xf numFmtId="0" fontId="0" fillId="4" borderId="0" pivotButton="0" quotePrefix="0" xfId="0"/>
    <xf numFmtId="0" fontId="4" fillId="4" borderId="0" pivotButton="0" quotePrefix="0" xfId="0"/>
    <xf numFmtId="0" fontId="4" fillId="4" borderId="0" applyAlignment="1" pivotButton="0" quotePrefix="0" xfId="0">
      <alignment horizontal="center"/>
    </xf>
    <xf numFmtId="0" fontId="0" fillId="4" borderId="1" pivotButton="0" quotePrefix="0" xfId="0"/>
    <xf numFmtId="0" fontId="4" fillId="4" borderId="1" pivotButton="0" quotePrefix="0" xfId="0"/>
    <xf numFmtId="0" fontId="4" fillId="4" borderId="1" applyAlignment="1" pivotButton="0" quotePrefix="0" xfId="0">
      <alignment horizontal="center"/>
    </xf>
    <xf numFmtId="3" fontId="0" fillId="0" borderId="0" pivotButton="0" quotePrefix="0" xfId="0"/>
    <xf numFmtId="3" fontId="0" fillId="0" borderId="1" pivotButton="0" quotePrefix="0" xfId="0"/>
    <xf numFmtId="0" fontId="4" fillId="4" borderId="2" applyAlignment="1" pivotButton="0" quotePrefix="0" xfId="0">
      <alignment horizontal="center"/>
    </xf>
    <xf numFmtId="0" fontId="4" fillId="4" borderId="3" applyAlignment="1" pivotButton="0" quotePrefix="0" xfId="0">
      <alignment horizontal="center"/>
    </xf>
    <xf numFmtId="0" fontId="4" fillId="4" borderId="4" applyAlignment="1" pivotButton="0" quotePrefix="0" xfId="0">
      <alignment horizont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4" fillId="4" borderId="11" applyAlignment="1" pivotButton="0" quotePrefix="0" xfId="0">
      <alignment horizontal="center"/>
    </xf>
    <xf numFmtId="0" fontId="4" fillId="4" borderId="12" applyAlignment="1" pivotButton="0" quotePrefix="0" xfId="0">
      <alignment horizontal="center"/>
    </xf>
    <xf numFmtId="0" fontId="4" fillId="4" borderId="13" applyAlignment="1" pivotButton="0" quotePrefix="0" xfId="0">
      <alignment horizontal="center"/>
    </xf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3" fontId="0" fillId="0" borderId="6" pivotButton="0" quotePrefix="0" xfId="0"/>
    <xf numFmtId="3" fontId="0" fillId="0" borderId="9" pivotButton="0" quotePrefix="0" xfId="0"/>
    <xf numFmtId="3" fontId="0" fillId="0" borderId="15" pivotButton="0" quotePrefix="0" xfId="0"/>
    <xf numFmtId="3" fontId="0" fillId="0" borderId="18" pivotButton="0" quotePrefix="0" xfId="0"/>
    <xf numFmtId="0" fontId="4" fillId="2" borderId="0" pivotButton="0" quotePrefix="0" xfId="0"/>
    <xf numFmtId="0" fontId="4" fillId="2" borderId="0" applyAlignment="1" pivotButton="0" quotePrefix="0" xfId="0">
      <alignment wrapText="1"/>
    </xf>
    <xf numFmtId="0" fontId="4" fillId="2" borderId="0" applyAlignment="1" pivotButton="0" quotePrefix="0" xfId="0">
      <alignment horizontal="center" wrapText="1"/>
    </xf>
    <xf numFmtId="0" fontId="4" fillId="2" borderId="1" pivotButton="0" quotePrefix="0" xfId="0"/>
    <xf numFmtId="0" fontId="4" fillId="2" borderId="1" applyAlignment="1" pivotButton="0" quotePrefix="0" xfId="0">
      <alignment wrapText="1"/>
    </xf>
    <xf numFmtId="0" fontId="4" fillId="2" borderId="1" applyAlignment="1" pivotButton="0" quotePrefix="0" xfId="0">
      <alignment horizontal="center" wrapText="1"/>
    </xf>
    <xf numFmtId="0" fontId="4" fillId="2" borderId="2" applyAlignment="1" pivotButton="0" quotePrefix="0" xfId="0">
      <alignment horizontal="center" wrapText="1"/>
    </xf>
    <xf numFmtId="0" fontId="4" fillId="2" borderId="3" applyAlignment="1" pivotButton="0" quotePrefix="0" xfId="0">
      <alignment horizontal="center" wrapText="1"/>
    </xf>
    <xf numFmtId="0" fontId="4" fillId="2" borderId="4" applyAlignment="1" pivotButton="0" quotePrefix="0" xfId="0">
      <alignment horizontal="center" wrapText="1"/>
    </xf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0" fillId="0" borderId="5" applyAlignment="1" pivotButton="0" quotePrefix="0" xfId="0">
      <alignment wrapText="1"/>
    </xf>
    <xf numFmtId="0" fontId="0" fillId="0" borderId="6" applyAlignment="1" pivotButton="0" quotePrefix="0" xfId="0">
      <alignment wrapText="1"/>
    </xf>
    <xf numFmtId="0" fontId="0" fillId="0" borderId="7" applyAlignment="1" pivotButton="0" quotePrefix="0" xfId="0">
      <alignment wrapText="1"/>
    </xf>
    <xf numFmtId="0" fontId="0" fillId="0" borderId="8" applyAlignment="1" pivotButton="0" quotePrefix="0" xfId="0">
      <alignment wrapText="1"/>
    </xf>
    <xf numFmtId="0" fontId="0" fillId="0" borderId="9" applyAlignment="1" pivotButton="0" quotePrefix="0" xfId="0">
      <alignment wrapText="1"/>
    </xf>
    <xf numFmtId="0" fontId="0" fillId="0" borderId="10" applyAlignment="1" pivotButton="0" quotePrefix="0" xfId="0">
      <alignment wrapText="1"/>
    </xf>
    <xf numFmtId="0" fontId="0" fillId="0" borderId="14" applyAlignment="1" pivotButton="0" quotePrefix="0" xfId="0">
      <alignment wrapText="1"/>
    </xf>
    <xf numFmtId="0" fontId="0" fillId="0" borderId="15" applyAlignment="1" pivotButton="0" quotePrefix="0" xfId="0">
      <alignment wrapText="1"/>
    </xf>
    <xf numFmtId="0" fontId="0" fillId="0" borderId="16" applyAlignment="1" pivotButton="0" quotePrefix="0" xfId="0">
      <alignment wrapText="1"/>
    </xf>
    <xf numFmtId="0" fontId="0" fillId="0" borderId="17" applyAlignment="1" pivotButton="0" quotePrefix="0" xfId="0">
      <alignment wrapText="1"/>
    </xf>
    <xf numFmtId="0" fontId="0" fillId="0" borderId="18" applyAlignment="1" pivotButton="0" quotePrefix="0" xfId="0">
      <alignment wrapText="1"/>
    </xf>
    <xf numFmtId="0" fontId="0" fillId="0" borderId="19" applyAlignment="1" pivotButton="0" quotePrefix="0" xfId="0">
      <alignment wrapText="1"/>
    </xf>
    <xf numFmtId="0" fontId="4" fillId="4" borderId="0" applyAlignment="1" pivotButton="0" quotePrefix="0" xfId="0">
      <alignment wrapText="1"/>
    </xf>
    <xf numFmtId="0" fontId="4" fillId="4" borderId="0" applyAlignment="1" pivotButton="0" quotePrefix="0" xfId="0">
      <alignment horizontal="center" wrapText="1"/>
    </xf>
    <xf numFmtId="0" fontId="4" fillId="4" borderId="1" applyAlignment="1" pivotButton="0" quotePrefix="0" xfId="0">
      <alignment wrapText="1"/>
    </xf>
    <xf numFmtId="0" fontId="4" fillId="4" borderId="1" applyAlignment="1" pivotButton="0" quotePrefix="0" xfId="0">
      <alignment horizontal="center" wrapText="1"/>
    </xf>
    <xf numFmtId="0" fontId="4" fillId="4" borderId="2" applyAlignment="1" pivotButton="0" quotePrefix="0" xfId="0">
      <alignment horizontal="center" wrapText="1"/>
    </xf>
    <xf numFmtId="0" fontId="4" fillId="4" borderId="3" applyAlignment="1" pivotButton="0" quotePrefix="0" xfId="0">
      <alignment horizontal="center" wrapText="1"/>
    </xf>
    <xf numFmtId="0" fontId="4" fillId="4" borderId="4" applyAlignment="1" pivotButton="0" quotePrefix="0" xfId="0">
      <alignment horizontal="center" wrapText="1"/>
    </xf>
    <xf numFmtId="0" fontId="4" fillId="4" borderId="11" applyAlignment="1" pivotButton="0" quotePrefix="0" xfId="0">
      <alignment horizontal="center" wrapText="1"/>
    </xf>
    <xf numFmtId="0" fontId="4" fillId="4" borderId="12" applyAlignment="1" pivotButton="0" quotePrefix="0" xfId="0">
      <alignment horizontal="center" wrapText="1"/>
    </xf>
    <xf numFmtId="0" fontId="4" fillId="4" borderId="13" applyAlignment="1" pivotButton="0" quotePrefix="0" xfId="0">
      <alignment horizontal="center" wrapText="1"/>
    </xf>
    <xf numFmtId="3" fontId="1" fillId="2" borderId="0" applyAlignment="1" pivotButton="0" quotePrefix="0" xfId="0">
      <alignment horizontal="left" vertical="center"/>
    </xf>
    <xf numFmtId="3" fontId="1" fillId="2" borderId="1" applyAlignment="1" pivotButton="0" quotePrefix="0" xfId="0">
      <alignment horizontal="left" vertical="center"/>
    </xf>
    <xf numFmtId="164" fontId="1" fillId="2" borderId="0" applyAlignment="1" pivotButton="0" quotePrefix="0" xfId="0">
      <alignment horizontal="left" vertical="center"/>
    </xf>
    <xf numFmtId="164" fontId="1" fillId="2" borderId="1" applyAlignment="1" pivotButton="0" quotePrefix="0" xfId="0">
      <alignment horizontal="left" vertical="center"/>
    </xf>
    <xf numFmtId="165" fontId="1" fillId="2" borderId="0" applyAlignment="1" pivotButton="0" quotePrefix="0" xfId="0">
      <alignment horizontal="left" vertical="center"/>
    </xf>
    <xf numFmtId="165" fontId="1" fillId="2" borderId="1" applyAlignment="1" pivotButton="0" quotePrefix="0" xfId="0">
      <alignment horizontal="left" vertical="center"/>
    </xf>
    <xf numFmtId="0" fontId="0" fillId="5" borderId="0" pivotButton="0" quotePrefix="0" xfId="0"/>
    <xf numFmtId="0" fontId="4" fillId="5" borderId="0" pivotButton="0" quotePrefix="0" xfId="0"/>
    <xf numFmtId="0" fontId="4" fillId="5" borderId="0" applyAlignment="1" pivotButton="0" quotePrefix="0" xfId="0">
      <alignment wrapText="1"/>
    </xf>
    <xf numFmtId="0" fontId="4" fillId="5" borderId="0" applyAlignment="1" pivotButton="0" quotePrefix="0" xfId="0">
      <alignment horizontal="center" wrapText="1"/>
    </xf>
    <xf numFmtId="0" fontId="0" fillId="5" borderId="1" pivotButton="0" quotePrefix="0" xfId="0"/>
    <xf numFmtId="0" fontId="4" fillId="5" borderId="1" pivotButton="0" quotePrefix="0" xfId="0"/>
    <xf numFmtId="0" fontId="4" fillId="5" borderId="1" applyAlignment="1" pivotButton="0" quotePrefix="0" xfId="0">
      <alignment wrapText="1"/>
    </xf>
    <xf numFmtId="0" fontId="4" fillId="5" borderId="1" applyAlignment="1" pivotButton="0" quotePrefix="0" xfId="0">
      <alignment horizontal="center" wrapText="1"/>
    </xf>
    <xf numFmtId="0" fontId="4" fillId="5" borderId="2" applyAlignment="1" pivotButton="0" quotePrefix="0" xfId="0">
      <alignment horizontal="center" wrapText="1"/>
    </xf>
    <xf numFmtId="0" fontId="4" fillId="5" borderId="3" applyAlignment="1" pivotButton="0" quotePrefix="0" xfId="0">
      <alignment horizontal="center" wrapText="1"/>
    </xf>
    <xf numFmtId="0" fontId="4" fillId="5" borderId="4" applyAlignment="1" pivotButton="0" quotePrefix="0" xfId="0">
      <alignment horizontal="center" wrapText="1"/>
    </xf>
    <xf numFmtId="0" fontId="4" fillId="5" borderId="11" applyAlignment="1" pivotButton="0" quotePrefix="0" xfId="0">
      <alignment horizontal="center" wrapText="1"/>
    </xf>
    <xf numFmtId="0" fontId="4" fillId="5" borderId="12" applyAlignment="1" pivotButton="0" quotePrefix="0" xfId="0">
      <alignment horizontal="center" wrapText="1"/>
    </xf>
    <xf numFmtId="0" fontId="4" fillId="5" borderId="13" applyAlignment="1" pivotButton="0" quotePrefix="0" xfId="0">
      <alignment horizontal="center" wrapText="1"/>
    </xf>
    <xf numFmtId="0" fontId="5" fillId="0" borderId="0" pivotButton="0" quotePrefix="0" xfId="0"/>
    <xf numFmtId="0" fontId="6" fillId="0" borderId="0" pivotButton="0" quotePrefix="0" xfId="0"/>
    <xf numFmtId="0" fontId="7" fillId="6" borderId="20" applyAlignment="1" pivotButton="0" quotePrefix="0" xfId="0">
      <alignment horizontal="center" vertical="center" wrapText="1"/>
    </xf>
    <xf numFmtId="0" fontId="0" fillId="0" borderId="20" applyAlignment="1" pivotButton="0" quotePrefix="0" xfId="0">
      <alignment vertical="top" wrapText="1"/>
    </xf>
    <xf numFmtId="0" fontId="0" fillId="7" borderId="20" applyAlignment="1" pivotButton="0" quotePrefix="0" xfId="0">
      <alignment vertical="top" wrapText="1"/>
    </xf>
    <xf numFmtId="0" fontId="8" fillId="0" borderId="0" pivotButton="0" quotePrefix="0" xfId="0"/>
    <xf numFmtId="0" fontId="0" fillId="8" borderId="20" applyAlignment="1" pivotButton="0" quotePrefix="0" xfId="0">
      <alignment vertical="top" wrapText="1"/>
    </xf>
    <xf numFmtId="0" fontId="0" fillId="0" borderId="20" pivotButton="0" quotePrefix="0" xfId="0"/>
    <xf numFmtId="3" fontId="0" fillId="0" borderId="6" pivotButton="0" quotePrefix="0" xfId="0"/>
    <xf numFmtId="3" fontId="0" fillId="0" borderId="9" pivotButton="0" quotePrefix="0" xfId="0"/>
    <xf numFmtId="0" fontId="9" fillId="0" borderId="0" pivotButton="0" quotePrefix="0" xfId="0"/>
    <xf numFmtId="0" fontId="0" fillId="0" borderId="0" applyAlignment="1" pivotButton="0" quotePrefix="0" xfId="0">
      <alignment wrapText="1"/>
    </xf>
    <xf numFmtId="3" fontId="0" fillId="0" borderId="20" applyAlignment="1" pivotButton="0" quotePrefix="0" xfId="0">
      <alignment vertical="top" wrapText="1"/>
    </xf>
    <xf numFmtId="164" fontId="0" fillId="0" borderId="20" applyAlignment="1" pivotButton="0" quotePrefix="0" xfId="0">
      <alignment vertical="top" wrapText="1"/>
    </xf>
    <xf numFmtId="3" fontId="0" fillId="7" borderId="20" applyAlignment="1" pivotButton="0" quotePrefix="0" xfId="0">
      <alignment vertical="top" wrapText="1"/>
    </xf>
    <xf numFmtId="164" fontId="0" fillId="7" borderId="20" applyAlignment="1" pivotButton="0" quotePrefix="0" xfId="0">
      <alignment vertical="top" wrapText="1"/>
    </xf>
    <xf numFmtId="0" fontId="10" fillId="0" borderId="0" pivotButton="0" quotePrefix="0" xfId="0"/>
    <xf numFmtId="0" fontId="11" fillId="0" borderId="0" pivotButton="0" quotePrefix="0" xfId="0"/>
    <xf numFmtId="0" fontId="7" fillId="6" borderId="20" applyAlignment="1" pivotButton="0" quotePrefix="0" xfId="0">
      <alignment horizontal="center"/>
    </xf>
    <xf numFmtId="0" fontId="0" fillId="0" borderId="26" applyAlignment="1" pivotButton="0" quotePrefix="0" xfId="0">
      <alignment vertical="top" wrapText="1"/>
    </xf>
    <xf numFmtId="0" fontId="0" fillId="7" borderId="26" applyAlignment="1" pivotButton="0" quotePrefix="0" xfId="0">
      <alignment vertical="top" wrapText="1"/>
    </xf>
    <xf numFmtId="0" fontId="12" fillId="7" borderId="20" applyAlignment="1" pivotButton="0" quotePrefix="0" xfId="0">
      <alignment vertical="top" wrapText="1"/>
    </xf>
    <xf numFmtId="0" fontId="0" fillId="0" borderId="28" pivotButton="0" quotePrefix="0" xfId="0"/>
    <xf numFmtId="0" fontId="0" fillId="0" borderId="29" pivotButton="0" quotePrefix="0" xfId="0"/>
    <xf numFmtId="0" fontId="15" fillId="0" borderId="0" pivotButton="0" quotePrefix="0" xfId="0"/>
    <xf numFmtId="49" fontId="0" fillId="0" borderId="6" applyAlignment="1" pivotButton="0" quotePrefix="0" xfId="0">
      <alignment wrapText="1"/>
    </xf>
    <xf numFmtId="49" fontId="1" fillId="2" borderId="1" applyAlignment="1" pivotButton="0" quotePrefix="0" xfId="0">
      <alignment horizontal="left" vertical="center"/>
    </xf>
    <xf numFmtId="49" fontId="2" fillId="3" borderId="1" applyAlignment="1" pivotButton="0" quotePrefix="0" xfId="0">
      <alignment horizontal="left" vertical="center"/>
    </xf>
    <xf numFmtId="49" fontId="0" fillId="0" borderId="0" pivotButton="0" quotePrefix="0" xfId="0"/>
    <xf numFmtId="49" fontId="4" fillId="2" borderId="2" applyAlignment="1" pivotButton="0" quotePrefix="0" xfId="0">
      <alignment horizontal="center" wrapText="1"/>
    </xf>
    <xf numFmtId="49" fontId="0" fillId="0" borderId="5" applyAlignment="1" pivotButton="0" quotePrefix="0" xfId="0">
      <alignment wrapText="1"/>
    </xf>
    <xf numFmtId="49" fontId="0" fillId="0" borderId="8" applyAlignment="1" pivotButton="0" quotePrefix="0" xfId="0">
      <alignment wrapText="1"/>
    </xf>
    <xf numFmtId="49" fontId="4" fillId="4" borderId="2" applyAlignment="1" pivotButton="0" quotePrefix="0" xfId="0">
      <alignment horizontal="center" wrapText="1"/>
    </xf>
    <xf numFmtId="49" fontId="5" fillId="0" borderId="0" pivotButton="0" quotePrefix="0" xfId="0"/>
    <xf numFmtId="49" fontId="6" fillId="0" borderId="0" pivotButton="0" quotePrefix="0" xfId="0"/>
    <xf numFmtId="49" fontId="7" fillId="6" borderId="20" applyAlignment="1" pivotButton="0" quotePrefix="0" xfId="0">
      <alignment horizontal="center" vertical="center" wrapText="1"/>
    </xf>
    <xf numFmtId="49" fontId="0" fillId="0" borderId="20" applyAlignment="1" pivotButton="0" quotePrefix="0" xfId="0">
      <alignment vertical="top" wrapText="1"/>
    </xf>
    <xf numFmtId="49" fontId="0" fillId="7" borderId="20" applyAlignment="1" pivotButton="0" quotePrefix="0" xfId="0">
      <alignment vertical="top" wrapText="1"/>
    </xf>
    <xf numFmtId="0" fontId="0" fillId="0" borderId="1" applyAlignment="1" pivotButton="0" quotePrefix="0" xfId="0">
      <alignment wrapText="1"/>
    </xf>
    <xf numFmtId="0" fontId="13" fillId="0" borderId="0" pivotButton="0" quotePrefix="0" xfId="0"/>
    <xf numFmtId="0" fontId="7" fillId="6" borderId="0" applyAlignment="1" pivotButton="0" quotePrefix="0" xfId="0">
      <alignment horizontal="center"/>
    </xf>
    <xf numFmtId="0" fontId="14" fillId="0" borderId="0" pivotButton="0" quotePrefix="0" xfId="0"/>
    <xf numFmtId="0" fontId="7" fillId="9" borderId="0" pivotButton="0" quotePrefix="0" xfId="0"/>
  </cellXfs>
  <cellStyles count="1">
    <cellStyle name="Normal" xfId="0"/>
  </cellStyles>
  <dxfs count="4">
    <dxf>
      <font>
        <b val="1"/>
        <color rgb="0016A34A"/>
      </font>
    </dxf>
    <dxf>
      <font>
        <b val="1"/>
        <color rgb="00DC2626"/>
      </font>
    </dxf>
    <dxf>
      <font>
        <b val="1"/>
        <color rgb="0016A34A"/>
      </font>
    </dxf>
    <dxf>
      <font>
        <b val="1"/>
        <color rgb="00DC2626"/>
      </font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Views y alcance por plataforma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v>Views</v>
          </tx>
          <spPr>
            <a:ln xmlns:a="http://schemas.openxmlformats.org/drawingml/2006/main">
              <a:prstDash val="solid"/>
            </a:ln>
          </spPr>
          <cat>
            <strRef>
              <f>'12_Chart_Data'!$A$5:$A$7</f>
              <strCache>
                <ptCount val="0"/>
              </strCache>
            </strRef>
          </cat>
          <val>
            <numRef>
              <f>'12_Chart_Data'!$B$5:$B$7</f>
              <numCache>
                <ptCount val="0"/>
              </numCache>
            </numRef>
          </val>
        </ser>
        <ser>
          <idx val="1"/>
          <order val="1"/>
          <tx>
            <v>Alcance</v>
          </tx>
          <spPr>
            <a:ln xmlns:a="http://schemas.openxmlformats.org/drawingml/2006/main">
              <a:prstDash val="solid"/>
            </a:ln>
          </spPr>
          <cat>
            <strRef>
              <f>'12_Chart_Data'!$A$5:$A$7</f>
              <strCache>
                <ptCount val="0"/>
              </strCache>
            </strRef>
          </cat>
          <val>
            <numRef>
              <f>'12_Chart_Data'!$C$5:$C$7</f>
              <numCache>
                <ptCount val="0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" sourceLinked="0"/>
        <majorTickMark val="none"/>
        <minorTickMark val="none"/>
        <tickLblPos val="nextTo"/>
        <crossAx val="48672768"/>
        <crosses val="autoZero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" sourceLinked="0"/>
        <majorTickMark val="none"/>
        <minorTickMark val="none"/>
        <crossAx val="48650112"/>
        <crosses val="autoZero"/>
        <crossBetween val="between"/>
      </valAx>
    </plotArea>
    <legend>
      <legendPos val="b"/>
      <overlay val="0"/>
    </legend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>
    <from>
      <col>6</col>
      <colOff>0</colOff>
      <row>3</row>
      <rowOff>0</rowOff>
    </from>
    <to>
      <col>14</col>
      <colOff>0</colOff>
      <row>20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ables/table1.xml><?xml version="1.0" encoding="utf-8"?>
<table xmlns="http://schemas.openxmlformats.org/spreadsheetml/2006/main" id="1" name="ControlTable" displayName="ControlTable" ref="A4:D13" headerRowCount="1">
  <tableColumns count="4">
    <tableColumn id="1" name="Campo"/>
    <tableColumn id="2" name="Valor"/>
    <tableColumn id="3" name="Tipo"/>
    <tableColumn id="4" name="Descripción"/>
  </tableColumns>
  <tableStyleInfo name="TableStyleMedium2" showRowStripes="1"/>
</table>
</file>

<file path=xl/tables/table2.xml><?xml version="1.0" encoding="utf-8"?>
<table xmlns="http://schemas.openxmlformats.org/spreadsheetml/2006/main" id="2" name="ContentRawTable" displayName="ContentRawTable" ref="A4:AD162" headerRowCount="1">
  <tableColumns count="30">
    <tableColumn id="1" name="Mes"/>
    <tableColumn id="2" name="Fecha"/>
    <tableColumn id="3" name="Plataforma"/>
    <tableColumn id="4" name="Categoría"/>
    <tableColumn id="5" name="Formato"/>
    <tableColumn id="6" name="Talento"/>
    <tableColumn id="7" name="Tema"/>
    <tableColumn id="8" name="Campaña"/>
    <tableColumn id="9" name="Pilar de contenido"/>
    <tableColumn id="10" name="Objetivo"/>
    <tableColumn id="11" name="Views"/>
    <tableColumn id="12" name="Alcance"/>
    <tableColumn id="13" name="Me gusta"/>
    <tableColumn id="14" name="Comentarios"/>
    <tableColumn id="15" name="Enviados"/>
    <tableColumn id="16" name="Reposteados"/>
    <tableColumn id="17" name="Guardados"/>
    <tableColumn id="18" name="Clicks sticker"/>
    <tableColumn id="19" name="Clicks link"/>
    <tableColumn id="20" name="Interacciones totales"/>
    <tableColumn id="21" name="ER %"/>
    <tableColumn id="22" name="Patrocinio"/>
    <tableColumn id="23" name="Monto"/>
    <tableColumn id="24" name="Días"/>
    <tableColumn id="25" name="Incluir Overview"/>
    <tableColumn id="26" name="Incluir Plataforma"/>
    <tableColumn id="27" name="Incluir Squad"/>
    <tableColumn id="28" name="Incluir MMPP"/>
    <tableColumn id="29" name="Notas"/>
    <tableColumn id="30" name="URL / Evidencia"/>
  </tableColumns>
  <tableStyleInfo name="TableStyleMedium2" showRowStripes="1"/>
</table>
</file>

<file path=xl/tables/table3.xml><?xml version="1.0" encoding="utf-8"?>
<table xmlns="http://schemas.openxmlformats.org/spreadsheetml/2006/main" id="3" name="AudienceTable" displayName="AudienceTable" ref="A4:O7" headerRowCount="1">
  <tableColumns count="15">
    <tableColumn id="1" name="Mes"/>
    <tableColumn id="2" name="Plataforma"/>
    <tableColumn id="3" name="Seguidores"/>
    <tableColumn id="4" name="Seguidores mes anterior"/>
    <tableColumn id="5" name="Crecimiento"/>
    <tableColumn id="6" name="Mujeres %"/>
    <tableColumn id="7" name="Hombres %"/>
    <tableColumn id="8" name="18-24 %"/>
    <tableColumn id="9" name="25-34 %"/>
    <tableColumn id="10" name="35-44 %"/>
    <tableColumn id="11" name="45-54 %"/>
    <tableColumn id="12" name="55+ %"/>
    <tableColumn id="13" name="Ciudad 1"/>
    <tableColumn id="14" name="Ciudad 2"/>
    <tableColumn id="15" name="Notas"/>
  </tableColumns>
  <tableStyleInfo name="TableStyleMedium2" showRowStripes="1"/>
</table>
</file>

<file path=xl/tables/table4.xml><?xml version="1.0" encoding="utf-8"?>
<table xmlns="http://schemas.openxmlformats.org/spreadsheetml/2006/main" id="4" name="PaidMediaTable" displayName="PaidMediaTable" ref="A4:J9" headerRowCount="1">
  <tableColumns count="10">
    <tableColumn id="1" name="Mes"/>
    <tableColumn id="2" name="Plataforma"/>
    <tableColumn id="3" name="Segmento"/>
    <tableColumn id="4" name="Monto"/>
    <tableColumn id="5" name="Fuente"/>
    <tableColumn id="6" name="Objetivo"/>
    <tableColumn id="7" name="Comentario"/>
    <tableColumn id="8" name="Incluir Overview"/>
    <tableColumn id="9" name="Incluir Plataforma"/>
    <tableColumn id="10" name="Validación"/>
  </tableColumns>
  <tableStyleInfo name="TableStyleMedium2" showRowStripes="1"/>
</table>
</file>

<file path=xl/tables/table5.xml><?xml version="1.0" encoding="utf-8"?>
<table xmlns="http://schemas.openxmlformats.org/spreadsheetml/2006/main" id="5" name="SquadTable" displayName="SquadTable" ref="A4:M8" headerRowCount="1">
  <tableColumns count="13">
    <tableColumn id="1" name="Mes"/>
    <tableColumn id="2" name="Talento"/>
    <tableColumn id="3" name="Formatos"/>
    <tableColumn id="4" name="Views"/>
    <tableColumn id="5" name="Alcance"/>
    <tableColumn id="6" name="Interacciones"/>
    <tableColumn id="7" name="ER %"/>
    <tableColumn id="8" name="Monto"/>
    <tableColumn id="9" name="Insight"/>
    <tableColumn id="10" name="Recomendación"/>
    <tableColumn id="11" name="Incluir PPT"/>
    <tableColumn id="12" name="Prioridad"/>
    <tableColumn id="13" name="Notas"/>
  </tableColumns>
  <tableStyleInfo name="TableStyleMedium2" showRowStripes="1"/>
</table>
</file>

<file path=xl/tables/table6.xml><?xml version="1.0" encoding="utf-8"?>
<table xmlns="http://schemas.openxmlformats.org/spreadsheetml/2006/main" id="6" name="MMPPTable" displayName="MMPPTable" ref="A4:J5" headerRowCount="1">
  <tableColumns count="10">
    <tableColumn id="1" name="Mes"/>
    <tableColumn id="2" name="Campaña/Segmento"/>
    <tableColumn id="3" name="Contenidos"/>
    <tableColumn id="4" name="Views"/>
    <tableColumn id="5" name="Alcance"/>
    <tableColumn id="6" name="Interacciones"/>
    <tableColumn id="7" name="ER %"/>
    <tableColumn id="8" name="Marcas"/>
    <tableColumn id="9" name="Comentario general"/>
    <tableColumn id="10" name="Usar en PPT"/>
  </tableColumns>
  <tableStyleInfo name="TableStyleMedium2" showRowStripes="1"/>
</table>
</file>

<file path=xl/tables/table7.xml><?xml version="1.0" encoding="utf-8"?>
<table xmlns="http://schemas.openxmlformats.org/spreadsheetml/2006/main" id="7" name="CompetenciaTable" displayName="CompetenciaTable" ref="A4:J22" headerRowCount="1">
  <tableColumns count="10">
    <tableColumn id="1" name="Mes"/>
    <tableColumn id="2" name="Plataforma"/>
    <tableColumn id="3" name="Marca"/>
    <tableColumn id="4" name="Seguidores"/>
    <tableColumn id="5" name="Interacciones"/>
    <tableColumn id="6" name="Fuente"/>
    <tableColumn id="7" name="Observación"/>
    <tableColumn id="8" name="Usar en gráfico"/>
    <tableColumn id="9" name="Prioridad"/>
    <tableColumn id="10" name="Notas"/>
  </tableColumns>
  <tableStyleInfo name="TableStyleMedium2" showRowStripes="1"/>
</table>
</file>

<file path=xl/tables/table8.xml><?xml version="1.0" encoding="utf-8"?>
<table xmlns="http://schemas.openxmlformats.org/spreadsheetml/2006/main" id="8" name="InsightsTable" displayName="InsightsTable" ref="A4:K10" headerRowCount="1">
  <tableColumns count="11">
    <tableColumn id="1" name="Mes"/>
    <tableColumn id="2" name="Sección"/>
    <tableColumn id="3" name="Tipo"/>
    <tableColumn id="4" name="Hallazgo"/>
    <tableColumn id="5" name="Evidencia"/>
    <tableColumn id="6" name="Implicancia"/>
    <tableColumn id="7" name="Recomendación"/>
    <tableColumn id="8" name="Prioridad"/>
    <tableColumn id="9" name="Usar en PPT"/>
    <tableColumn id="10" name="Slide sugerida"/>
    <tableColumn id="11" name="Estado"/>
  </tableColumns>
  <tableStyleInfo name="TableStyleMedium2" showRowStripes="1"/>
</table>
</file>

<file path=xl/tables/table9.xml><?xml version="1.0" encoding="utf-8"?>
<table xmlns="http://schemas.openxmlformats.org/spreadsheetml/2006/main" id="9" name="RecommendationsTable" displayName="RecommendationsTable" ref="A4:J8" headerRowCount="1">
  <tableColumns count="10">
    <tableColumn id="1" name="Mes"/>
    <tableColumn id="2" name="Prioridad"/>
    <tableColumn id="3" name="Área"/>
    <tableColumn id="4" name="Recomendación"/>
    <tableColumn id="5" name="Racional"/>
    <tableColumn id="6" name="Impacto esperado"/>
    <tableColumn id="7" name="Esfuerzo"/>
    <tableColumn id="8" name="Responsable"/>
    <tableColumn id="9" name="Status"/>
    <tableColumn id="10" name="Usar en PPT"/>
  </tableColumns>
  <tableStyleInfo name="TableStyleMedium2" showRowStripes="1"/>
</table>
</file>

<file path=xl/tables/table10.xml><?xml version="1.0" encoding="utf-8"?>
<table xmlns="http://schemas.openxmlformats.org/spreadsheetml/2006/main" id="10" name="ValidationTable" displayName="ValidationTable" ref="A4:J12" headerRowCount="1">
  <tableColumns count="10">
    <tableColumn id="1" name="Bloque"/>
    <tableColumn id="2" name="Métrica"/>
    <tableColumn id="3" name="Calculado modelo"/>
    <tableColumn id="4" name="Valor esperado / control"/>
    <tableColumn id="5" name="Diferencia"/>
    <tableColumn id="6" name="Estado"/>
    <tableColumn id="7" name="Acción sugerida"/>
    <tableColumn id="8" name="Severidad"/>
    <tableColumn id="9" name="Responsable"/>
    <tableColumn id="10" name="Notas"/>
  </tableColumns>
  <tableStyleInfo name="TableStyleMedium2" showRowStripes="1"/>
</table>
</file>

<file path=xl/tables/table11.xml><?xml version="1.0" encoding="utf-8"?>
<table xmlns="http://schemas.openxmlformats.org/spreadsheetml/2006/main" id="11" name="PPTMappingTable" displayName="PPTMappingTable" ref="A4:J17" headerRowCount="1">
  <tableColumns count="10">
    <tableColumn id="1" name="Slide"/>
    <tableColumn id="2" name="Nombre slide"/>
    <tableColumn id="3" name="Elemento PPT / Placeholder"/>
    <tableColumn id="4" name="Tipo"/>
    <tableColumn id="5" name="Fuente Excel"/>
    <tableColumn id="6" name="Regla / Filtro"/>
    <tableColumn id="7" name="Formato"/>
    <tableColumn id="8" name="Estado"/>
    <tableColumn id="9" name="Notas"/>
    <tableColumn id="10" name="Prioridad"/>
  </tableColumns>
  <tableStyleInfo name="TableStyleMedium2" showRowStripes="1"/>
</table>
</file>

<file path=xl/tables/table12.xml><?xml version="1.0" encoding="utf-8"?>
<table xmlns="http://schemas.openxmlformats.org/spreadsheetml/2006/main" id="12" name="DictionaryTable" displayName="DictionaryTable" ref="A4:F14" headerRowCount="1">
  <tableColumns count="6">
    <tableColumn id="1" name="Campo"/>
    <tableColumn id="2" name="Definición"/>
    <tableColumn id="3" name="Tipo"/>
    <tableColumn id="4" name="Obligatorio"/>
    <tableColumn id="5" name="Valores permitidos / Ejemplo"/>
    <tableColumn id="6" name="Notas"/>
  </tableColumns>
  <tableStyleInfo name="TableStyleMedium2" showRowStripes="1"/>
</table>
</file>

<file path=xl/tables/table13.xml><?xml version="1.0" encoding="utf-8"?>
<table xmlns="http://schemas.openxmlformats.org/spreadsheetml/2006/main" id="13" name="ChartDataPlatformTable" displayName="ChartDataPlatformTable" ref="A4:E7" headerRowCount="1">
  <tableColumns count="5">
    <tableColumn id="1" name="Plataforma"/>
    <tableColumn id="2" name="Views"/>
    <tableColumn id="3" name="Alcance"/>
    <tableColumn id="4" name="Interacciones"/>
    <tableColumn id="5" name="Contenidos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3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36" customWidth="1" min="3" max="3"/>
    <col width="35" customWidth="1" min="4" max="4"/>
  </cols>
  <sheetData>
    <row r="1">
      <c r="A1" s="120" t="inlineStr">
        <is>
          <t>Guía de uso · Automatización reporte Maicao</t>
        </is>
      </c>
    </row>
    <row r="2">
      <c r="A2" s="121" t="inlineStr">
        <is>
          <t>Versión v04: validaciones automáticas + fallback visual + KPIs por plataforma desde Excel</t>
        </is>
      </c>
    </row>
    <row r="4" ht="34" customHeight="1">
      <c r="A4" s="122" t="inlineStr">
        <is>
          <t>Paso</t>
        </is>
      </c>
      <c r="B4" s="122" t="inlineStr">
        <is>
          <t>Qué hacer</t>
        </is>
      </c>
      <c r="C4" s="122" t="inlineStr">
        <is>
          <t>Dónde editar</t>
        </is>
      </c>
      <c r="D4" s="122" t="inlineStr">
        <is>
          <t>Cuándo hacerlo</t>
        </is>
      </c>
    </row>
    <row r="5" ht="34" customHeight="1">
      <c r="A5" s="123" t="inlineStr">
        <is>
          <t>1</t>
        </is>
      </c>
      <c r="B5" s="123" t="inlineStr">
        <is>
          <t>Definir cliente, mes actual y mes anterior. Usa texto exacto tipo Marzo 2026, no fecha.</t>
        </is>
      </c>
      <c r="C5" s="123" t="inlineStr">
        <is>
          <t>00_Control</t>
        </is>
      </c>
      <c r="D5" s="123" t="inlineStr">
        <is>
          <t>Siempre al iniciar un reporte</t>
        </is>
      </c>
    </row>
    <row r="6" ht="34" customHeight="1">
      <c r="A6" s="124" t="inlineStr">
        <is>
          <t>2</t>
        </is>
      </c>
      <c r="B6" s="124" t="inlineStr">
        <is>
          <t>Actualizar KPIs oficiales por plataforma: views, alcance, interacciones, ER, contenidos, formatos, presupuesto y Top 3.</t>
        </is>
      </c>
      <c r="C6" s="124" t="inlineStr">
        <is>
          <t>13_Platform_KPIs</t>
        </is>
      </c>
      <c r="D6" s="124" t="inlineStr">
        <is>
          <t>Siempre. Alimenta Instagram, Facebook, TikTok y portafolio de canales.</t>
        </is>
      </c>
    </row>
    <row r="7" ht="34" customHeight="1">
      <c r="A7" s="123" t="inlineStr">
        <is>
          <t>3</t>
        </is>
      </c>
      <c r="B7" s="123" t="inlineStr">
        <is>
          <t>Actualizar seguidores y demografía por plataforma.</t>
        </is>
      </c>
      <c r="C7" s="123" t="inlineStr">
        <is>
          <t>02_Audience</t>
        </is>
      </c>
      <c r="D7" s="123" t="inlineStr">
        <is>
          <t>Siempre que cambie la audiencia.</t>
        </is>
      </c>
    </row>
    <row r="8" ht="34" customHeight="1">
      <c r="A8" s="124" t="inlineStr">
        <is>
          <t>4</t>
        </is>
      </c>
      <c r="B8" s="124" t="inlineStr">
        <is>
          <t>Actualizar inversión por plataforma/segmento.</t>
        </is>
      </c>
      <c r="C8" s="124" t="inlineStr">
        <is>
          <t>03_Paid_Media</t>
        </is>
      </c>
      <c r="D8" s="124" t="inlineStr">
        <is>
          <t>Cuando cambie pauta o presupuesto.</t>
        </is>
      </c>
    </row>
    <row r="9" ht="34" customHeight="1">
      <c r="A9" s="123" t="inlineStr">
        <is>
          <t>5</t>
        </is>
      </c>
      <c r="B9" s="123" t="inlineStr">
        <is>
          <t>Actualizar Squad y MMPP si aplica al mes.</t>
        </is>
      </c>
      <c r="C9" s="123" t="inlineStr">
        <is>
          <t>04_Squad / 05_MMPP</t>
        </is>
      </c>
      <c r="D9" s="123" t="inlineStr">
        <is>
          <t>Cuando existan secciones en el reporte.</t>
        </is>
      </c>
    </row>
    <row r="10" ht="34" customHeight="1">
      <c r="A10" s="124" t="inlineStr">
        <is>
          <t>6</t>
        </is>
      </c>
      <c r="B10" s="124" t="inlineStr">
        <is>
          <t>Completar insights y recomendaciones cualitativas.</t>
        </is>
      </c>
      <c r="C10" s="124" t="inlineStr">
        <is>
          <t>07_Insights / 08_Recomendaciones</t>
        </is>
      </c>
      <c r="D10" s="124" t="inlineStr">
        <is>
          <t>Antes de generar la versión cliente.</t>
        </is>
      </c>
    </row>
    <row r="11" ht="34" customHeight="1">
      <c r="A11" s="123" t="inlineStr">
        <is>
          <t>7</t>
        </is>
      </c>
      <c r="B11" s="123" t="inlineStr">
        <is>
          <t>Revisar checklist. Si algo dice REVISAR, corregir antes de generar.</t>
        </is>
      </c>
      <c r="C11" s="123" t="inlineStr">
        <is>
          <t>15_Checklist_Generacion</t>
        </is>
      </c>
      <c r="D11" s="123" t="inlineStr">
        <is>
          <t>Antes de ejecutar el generador.</t>
        </is>
      </c>
    </row>
    <row r="12" ht="34" customHeight="1">
      <c r="A12" s="124" t="inlineStr">
        <is>
          <t>8</t>
        </is>
      </c>
      <c r="B12" s="124" t="inlineStr">
        <is>
          <t>Generar PPT con doble clic o Terminal.</t>
        </is>
      </c>
      <c r="C12" s="124" t="inlineStr">
        <is>
          <t>GENERAR_REPORTE.command / python3 generate_report_from_template.py</t>
        </is>
      </c>
      <c r="D12" s="124" t="inlineStr">
        <is>
          <t>Al finalizar la carga.</t>
        </is>
      </c>
    </row>
    <row r="13" ht="34" customHeight="1">
      <c r="A13" s="107" t="n"/>
      <c r="B13" s="107" t="n"/>
      <c r="C13" s="107" t="n"/>
      <c r="D13" s="107" t="n"/>
    </row>
    <row r="14" ht="34" customHeight="1">
      <c r="A14" s="125" t="inlineStr">
        <is>
          <t>Notas v04</t>
        </is>
      </c>
      <c r="B14" s="108" t="inlineStr">
        <is>
          <t>Si falta data, la PPT mostrará "Dato pendiente" y Terminal imprimirá una alerta concreta por hoja/plataforma/mes. El reporte de alertas queda en output/validation_report_v04.txt.</t>
        </is>
      </c>
      <c r="C14" s="126" t="n"/>
      <c r="D14" s="127" t="n"/>
    </row>
    <row r="15" ht="34" customHeight="1">
      <c r="A15" s="107" t="n"/>
      <c r="B15" s="107" t="n"/>
      <c r="C15" s="107" t="n"/>
      <c r="D15" s="107" t="n"/>
    </row>
    <row r="17">
      <c r="A17" s="109" t="n"/>
    </row>
    <row r="18">
      <c r="A18" s="110" t="n"/>
    </row>
  </sheetData>
  <mergeCells count="1">
    <mergeCell ref="B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 ht="28" customHeight="1">
      <c r="A1" s="9" t="inlineStr">
        <is>
          <t>Maicao · Modelo de Automatización de Reporte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2" customHeight="1">
      <c r="A2" s="17" t="inlineStr">
        <is>
          <t>Archivo maestro para cargar data, validar métricas y alimentar una PPT editable.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4" ht="22" customHeight="1">
      <c r="A4" s="18" t="inlineStr">
        <is>
          <t>Estado del modelo</t>
        </is>
      </c>
      <c r="B4" s="18" t="str"/>
      <c r="C4" s="18" t="str"/>
      <c r="D4" s="18" t="inlineStr">
        <is>
          <t>KPIs auditados desde hoja Marzo 2026</t>
        </is>
      </c>
      <c r="E4" s="18" t="str"/>
      <c r="F4" s="18" t="str"/>
      <c r="G4" s="18" t="str"/>
      <c r="H4" s="18" t="str"/>
      <c r="I4" s="18" t="str"/>
      <c r="J4" s="18" t="str"/>
      <c r="K4" s="18" t="str"/>
      <c r="L4" s="18" t="str"/>
    </row>
    <row r="6">
      <c r="A6" s="28" t="inlineStr">
        <is>
          <t>Campo</t>
        </is>
      </c>
      <c r="B6" s="29" t="inlineStr">
        <is>
          <t>Valor</t>
        </is>
      </c>
      <c r="C6" s="30" t="inlineStr">
        <is>
          <t>Notas</t>
        </is>
      </c>
      <c r="E6" s="28" t="inlineStr">
        <is>
          <t>KPI</t>
        </is>
      </c>
      <c r="F6" s="29" t="inlineStr">
        <is>
          <t>Calculado desde Excel</t>
        </is>
      </c>
      <c r="G6" s="29" t="inlineStr">
        <is>
          <t>Valor esperado reporte</t>
        </is>
      </c>
      <c r="H6" s="30" t="inlineStr">
        <is>
          <t>Estado</t>
        </is>
      </c>
      <c r="J6" s="28" t="inlineStr">
        <is>
          <t>Módulo</t>
        </is>
      </c>
      <c r="K6" s="29" t="inlineStr">
        <is>
          <t>Qué resuelve</t>
        </is>
      </c>
      <c r="L6" s="30" t="inlineStr">
        <is>
          <t>Automatización</t>
        </is>
      </c>
    </row>
    <row r="7">
      <c r="A7" s="31" t="inlineStr">
        <is>
          <t>Cliente</t>
        </is>
      </c>
      <c r="B7" s="32" t="inlineStr">
        <is>
          <t>Maicao</t>
        </is>
      </c>
      <c r="C7" s="33" t="inlineStr">
        <is>
          <t>Fuente: Excel agencia + reporte marzo</t>
        </is>
      </c>
      <c r="E7" s="31" t="inlineStr">
        <is>
          <t>Views</t>
        </is>
      </c>
      <c r="F7" s="112" t="n">
        <v>16485909</v>
      </c>
      <c r="G7" s="112" t="n">
        <v>16486179</v>
      </c>
      <c r="H7" s="33">
        <f>IF(F7=G7,"OK","Revisar")</f>
        <v/>
      </c>
      <c r="J7" s="31" t="inlineStr">
        <is>
          <t>Data raw</t>
        </is>
      </c>
      <c r="K7" s="32" t="inlineStr">
        <is>
          <t>Una fila por contenido</t>
        </is>
      </c>
      <c r="L7" s="33" t="inlineStr">
        <is>
          <t>KPIs / top contenidos</t>
        </is>
      </c>
    </row>
    <row r="8">
      <c r="A8" s="31" t="inlineStr">
        <is>
          <t>Mes actual</t>
        </is>
      </c>
      <c r="B8" s="32" t="inlineStr">
        <is>
          <t>Marzo 2026</t>
        </is>
      </c>
      <c r="C8" s="33" t="inlineStr">
        <is>
          <t>Control del ciclo mensual</t>
        </is>
      </c>
      <c r="E8" s="31" t="inlineStr">
        <is>
          <t>Alcance</t>
        </is>
      </c>
      <c r="F8" s="112" t="n">
        <v>8211420</v>
      </c>
      <c r="G8" s="112" t="n">
        <v>8211420</v>
      </c>
      <c r="H8" s="33">
        <f>IF(F8=G8,"OK","Revisar")</f>
        <v/>
      </c>
      <c r="J8" s="31" t="inlineStr">
        <is>
          <t>Insights</t>
        </is>
      </c>
      <c r="K8" s="32" t="inlineStr">
        <is>
          <t>Narrativa cualitativa estructurada</t>
        </is>
      </c>
      <c r="L8" s="33" t="inlineStr">
        <is>
          <t>Textos PPT</t>
        </is>
      </c>
    </row>
    <row r="9">
      <c r="A9" s="31" t="inlineStr">
        <is>
          <t>Versión modelo</t>
        </is>
      </c>
      <c r="B9" s="32" t="inlineStr">
        <is>
          <t>v0.1</t>
        </is>
      </c>
      <c r="C9" s="33" t="inlineStr">
        <is>
          <t>Estructura inicial</t>
        </is>
      </c>
      <c r="E9" s="31" t="inlineStr">
        <is>
          <t>Interacciones</t>
        </is>
      </c>
      <c r="F9" s="112" t="n">
        <v>110695</v>
      </c>
      <c r="G9" s="112" t="n">
        <v>110695</v>
      </c>
      <c r="H9" s="33">
        <f>IF(F9=G9,"OK","Revisar")</f>
        <v/>
      </c>
      <c r="J9" s="31" t="inlineStr">
        <is>
          <t>Validaciones</t>
        </is>
      </c>
      <c r="K9" s="32" t="inlineStr">
        <is>
          <t>Alertas de descuadre</t>
        </is>
      </c>
      <c r="L9" s="33" t="inlineStr">
        <is>
          <t>QA mensual</t>
        </is>
      </c>
    </row>
    <row r="10">
      <c r="A10" s="31" t="inlineStr">
        <is>
          <t>Estado</t>
        </is>
      </c>
      <c r="B10" s="32" t="inlineStr">
        <is>
          <t>Base creada</t>
        </is>
      </c>
      <c r="C10" s="33" t="inlineStr">
        <is>
          <t>Pendiente: mapping final PPT</t>
        </is>
      </c>
      <c r="E10" s="31" t="inlineStr">
        <is>
          <t>Contenidos</t>
        </is>
      </c>
      <c r="F10" s="112" t="n">
        <v>158</v>
      </c>
      <c r="G10" s="112" t="n">
        <v>156</v>
      </c>
      <c r="H10" s="33">
        <f>IF(F10=G10,"OK","Revisar criterio")</f>
        <v/>
      </c>
      <c r="J10" s="34" t="inlineStr">
        <is>
          <t>Mapping PPT</t>
        </is>
      </c>
      <c r="K10" s="35" t="inlineStr">
        <is>
          <t>Conecta Excel con slides</t>
        </is>
      </c>
      <c r="L10" s="36" t="inlineStr">
        <is>
          <t>Generación pptx</t>
        </is>
      </c>
    </row>
    <row r="11">
      <c r="A11" s="34" t="inlineStr">
        <is>
          <t>Próximo paso</t>
        </is>
      </c>
      <c r="B11" s="35" t="inlineStr">
        <is>
          <t>Migración + reglas</t>
        </is>
      </c>
      <c r="C11" s="36" t="inlineStr">
        <is>
          <t>Validar criterios de inclusión</t>
        </is>
      </c>
      <c r="E11" s="34" t="inlineStr">
        <is>
          <t>Inversión</t>
        </is>
      </c>
      <c r="F11" s="113" t="n">
        <v>2200000</v>
      </c>
      <c r="G11" s="113" t="n">
        <v>3800400</v>
      </c>
      <c r="H11" s="36">
        <f>IF(F11=G11,"OK","Revisar pauta")</f>
        <v/>
      </c>
    </row>
    <row r="13">
      <c r="A13" s="114" t="inlineStr">
        <is>
          <t>Mejora v03</t>
        </is>
      </c>
    </row>
    <row r="14">
      <c r="A14" s="115" t="inlineStr">
        <is>
          <t>Se agregaron guía de uso, mapa slide por slide y KPIs oficiales por plataforma editables desde Excel.</t>
        </is>
      </c>
    </row>
    <row r="20">
      <c r="A20" s="128" t="inlineStr">
        <is>
          <t>v04 mejora</t>
        </is>
      </c>
      <c r="B20" s="115" t="inlineStr">
        <is>
          <t>Validación automática, fallback visual, ajuste de tarjetas KPI y normalización de mes.</t>
        </is>
      </c>
    </row>
  </sheetData>
  <mergeCells count="2">
    <mergeCell ref="A2:L2"/>
    <mergeCell ref="A1:L1"/>
  </mergeCells>
  <conditionalFormatting sqref="H7:H11">
    <cfRule type="expression" priority="1" dxfId="0">
      <formula>LEFT(H7,2)="OK"</formula>
    </cfRule>
    <cfRule type="expression" priority="2" dxfId="1">
      <formula>LEFT(H7,7)="Revisar"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 ht="28" customHeight="1">
      <c r="A1" s="9" t="inlineStr">
        <is>
          <t>00_Control</t>
        </is>
      </c>
      <c r="B1" s="1" t="n"/>
      <c r="C1" s="1" t="n"/>
      <c r="D1" s="1" t="n"/>
      <c r="E1" s="1" t="n"/>
      <c r="F1" s="1" t="n"/>
      <c r="G1" s="1" t="n"/>
      <c r="H1" s="1" t="n"/>
    </row>
    <row r="2" ht="22" customHeight="1">
      <c r="A2" s="17" t="inlineStr">
        <is>
          <t>Parámetros del reporte mensual. La automatización lee esta hoja primero.</t>
        </is>
      </c>
      <c r="B2" s="1" t="n"/>
      <c r="C2" s="1" t="n"/>
      <c r="D2" s="1" t="n"/>
      <c r="E2" s="1" t="n"/>
      <c r="F2" s="1" t="n"/>
      <c r="G2" s="1" t="n"/>
      <c r="H2" s="1" t="n"/>
    </row>
    <row r="4">
      <c r="A4" s="56" t="inlineStr">
        <is>
          <t>Campo</t>
        </is>
      </c>
      <c r="B4" s="57" t="inlineStr">
        <is>
          <t>Valor</t>
        </is>
      </c>
      <c r="C4" s="57" t="inlineStr">
        <is>
          <t>Tipo</t>
        </is>
      </c>
      <c r="D4" s="58" t="inlineStr">
        <is>
          <t>Descripción</t>
        </is>
      </c>
    </row>
    <row r="5">
      <c r="A5" s="62" t="inlineStr">
        <is>
          <t>Cliente</t>
        </is>
      </c>
      <c r="B5" s="63" t="inlineStr">
        <is>
          <t>Maicao</t>
        </is>
      </c>
      <c r="C5" s="63" t="inlineStr">
        <is>
          <t>Texto</t>
        </is>
      </c>
      <c r="D5" s="64" t="inlineStr">
        <is>
          <t>Nombre del cliente</t>
        </is>
      </c>
    </row>
    <row r="6">
      <c r="A6" s="62" t="inlineStr">
        <is>
          <t>Mes actual</t>
        </is>
      </c>
      <c r="B6" s="129" t="inlineStr">
        <is>
          <t>Marzo 2026</t>
        </is>
      </c>
      <c r="C6" s="63" t="inlineStr">
        <is>
          <t>Texto</t>
        </is>
      </c>
      <c r="D6" s="64" t="inlineStr">
        <is>
          <t>Mes a generar</t>
        </is>
      </c>
    </row>
    <row r="7">
      <c r="A7" s="62" t="inlineStr">
        <is>
          <t>Mes anterior</t>
        </is>
      </c>
      <c r="B7" s="129" t="inlineStr">
        <is>
          <t>Febrero 2026</t>
        </is>
      </c>
      <c r="C7" s="63" t="inlineStr">
        <is>
          <t>Texto</t>
        </is>
      </c>
      <c r="D7" s="64" t="inlineStr">
        <is>
          <t>Mes de comparación</t>
        </is>
      </c>
    </row>
    <row r="8">
      <c r="A8" s="62" t="inlineStr">
        <is>
          <t>Moneda</t>
        </is>
      </c>
      <c r="B8" s="63" t="inlineStr">
        <is>
          <t>CLP</t>
        </is>
      </c>
      <c r="C8" s="63" t="inlineStr">
        <is>
          <t>Texto</t>
        </is>
      </c>
      <c r="D8" s="64" t="inlineStr">
        <is>
          <t>Formato monetario</t>
        </is>
      </c>
    </row>
    <row r="9">
      <c r="A9" s="62" t="inlineStr">
        <is>
          <t>Responsable</t>
        </is>
      </c>
      <c r="B9" s="63" t="inlineStr">
        <is>
          <t>Agencia</t>
        </is>
      </c>
      <c r="C9" s="63" t="inlineStr">
        <is>
          <t>Texto</t>
        </is>
      </c>
      <c r="D9" s="64" t="inlineStr">
        <is>
          <t>Equipo que carga la data</t>
        </is>
      </c>
    </row>
    <row r="10">
      <c r="A10" s="62" t="inlineStr">
        <is>
          <t>Versión</t>
        </is>
      </c>
      <c r="B10" s="63" t="inlineStr">
        <is>
          <t>v0.1</t>
        </is>
      </c>
      <c r="C10" s="63" t="inlineStr">
        <is>
          <t>Texto</t>
        </is>
      </c>
      <c r="D10" s="64" t="inlineStr">
        <is>
          <t>Versión del modelo</t>
        </is>
      </c>
    </row>
    <row r="11">
      <c r="A11" s="62" t="inlineStr">
        <is>
          <t>Estado</t>
        </is>
      </c>
      <c r="B11" s="63" t="inlineStr">
        <is>
          <t>Modelo v03 listo para prueba</t>
        </is>
      </c>
      <c r="C11" s="63" t="inlineStr">
        <is>
          <t>Lista</t>
        </is>
      </c>
      <c r="D11" s="64" t="inlineStr">
        <is>
          <t>En carga / Validado / Listo para PPT</t>
        </is>
      </c>
    </row>
    <row r="12">
      <c r="A12" s="62" t="inlineStr">
        <is>
          <t>Ruta plantilla PPT</t>
        </is>
      </c>
      <c r="B12" s="63" t="str"/>
      <c r="C12" s="63" t="inlineStr">
        <is>
          <t>Ruta</t>
        </is>
      </c>
      <c r="D12" s="64" t="inlineStr">
        <is>
          <t>Se completará en etapa 2</t>
        </is>
      </c>
    </row>
    <row r="13">
      <c r="A13" s="65" t="inlineStr">
        <is>
          <t>Ruta output PPT</t>
        </is>
      </c>
      <c r="B13" s="66" t="str"/>
      <c r="C13" s="66" t="inlineStr">
        <is>
          <t>Ruta</t>
        </is>
      </c>
      <c r="D13" s="67" t="inlineStr">
        <is>
          <t>Se completará en etapa 2</t>
        </is>
      </c>
    </row>
  </sheetData>
  <mergeCells count="2">
    <mergeCell ref="A2:H2"/>
    <mergeCell ref="A1:H1"/>
  </mergeCells>
  <dataValidations count="1">
    <dataValidation sqref="B11" showDropDown="0" showInputMessage="0" showErrorMessage="0" allowBlank="0" type="list">
      <formula1>"En carga,Validado,Listo para PPT"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16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28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</cols>
  <sheetData>
    <row r="1" ht="28" customHeight="1">
      <c r="A1" s="9" t="inlineStr">
        <is>
          <t>01_Content_Raw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</row>
    <row r="2" ht="22" customHeight="1">
      <c r="A2" s="17" t="inlineStr">
        <is>
          <t>Base principal: una fila por contenido publicado. Incluye flags para controlar qué suma en cada sección.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</row>
    <row r="4" ht="38" customHeight="1">
      <c r="A4" s="78" t="inlineStr">
        <is>
          <t>Mes</t>
        </is>
      </c>
      <c r="B4" s="79" t="inlineStr">
        <is>
          <t>Fecha</t>
        </is>
      </c>
      <c r="C4" s="79" t="inlineStr">
        <is>
          <t>Plataforma</t>
        </is>
      </c>
      <c r="D4" s="79" t="inlineStr">
        <is>
          <t>Categoría</t>
        </is>
      </c>
      <c r="E4" s="79" t="inlineStr">
        <is>
          <t>Formato</t>
        </is>
      </c>
      <c r="F4" s="79" t="inlineStr">
        <is>
          <t>Talento</t>
        </is>
      </c>
      <c r="G4" s="79" t="inlineStr">
        <is>
          <t>Tema</t>
        </is>
      </c>
      <c r="H4" s="79" t="inlineStr">
        <is>
          <t>Campaña</t>
        </is>
      </c>
      <c r="I4" s="79" t="inlineStr">
        <is>
          <t>Pilar de contenido</t>
        </is>
      </c>
      <c r="J4" s="79" t="inlineStr">
        <is>
          <t>Objetivo</t>
        </is>
      </c>
      <c r="K4" s="79" t="inlineStr">
        <is>
          <t>Views</t>
        </is>
      </c>
      <c r="L4" s="79" t="inlineStr">
        <is>
          <t>Alcance</t>
        </is>
      </c>
      <c r="M4" s="79" t="inlineStr">
        <is>
          <t>Me gusta</t>
        </is>
      </c>
      <c r="N4" s="79" t="inlineStr">
        <is>
          <t>Comentarios</t>
        </is>
      </c>
      <c r="O4" s="79" t="inlineStr">
        <is>
          <t>Enviados</t>
        </is>
      </c>
      <c r="P4" s="79" t="inlineStr">
        <is>
          <t>Reposteados</t>
        </is>
      </c>
      <c r="Q4" s="79" t="inlineStr">
        <is>
          <t>Guardados</t>
        </is>
      </c>
      <c r="R4" s="79" t="inlineStr">
        <is>
          <t>Clicks sticker</t>
        </is>
      </c>
      <c r="S4" s="79" t="inlineStr">
        <is>
          <t>Clicks link</t>
        </is>
      </c>
      <c r="T4" s="79" t="inlineStr">
        <is>
          <t>Interacciones totales</t>
        </is>
      </c>
      <c r="U4" s="79" t="inlineStr">
        <is>
          <t>ER %</t>
        </is>
      </c>
      <c r="V4" s="79" t="inlineStr">
        <is>
          <t>Patrocinio</t>
        </is>
      </c>
      <c r="W4" s="79" t="inlineStr">
        <is>
          <t>Monto</t>
        </is>
      </c>
      <c r="X4" s="79" t="inlineStr">
        <is>
          <t>Días</t>
        </is>
      </c>
      <c r="Y4" s="79" t="inlineStr">
        <is>
          <t>Incluir Overview</t>
        </is>
      </c>
      <c r="Z4" s="79" t="inlineStr">
        <is>
          <t>Incluir Plataforma</t>
        </is>
      </c>
      <c r="AA4" s="79" t="inlineStr">
        <is>
          <t>Incluir Squad</t>
        </is>
      </c>
      <c r="AB4" s="79" t="inlineStr">
        <is>
          <t>Incluir MMPP</t>
        </is>
      </c>
      <c r="AC4" s="79" t="inlineStr">
        <is>
          <t>Notas</t>
        </is>
      </c>
      <c r="AD4" s="80" t="inlineStr">
        <is>
          <t>URL / Evidencia</t>
        </is>
      </c>
    </row>
    <row r="5">
      <c r="A5" s="62" t="inlineStr">
        <is>
          <t>Marzo 2026</t>
        </is>
      </c>
      <c r="B5" s="63" t="n"/>
      <c r="C5" s="63" t="inlineStr">
        <is>
          <t>Instagram</t>
        </is>
      </c>
      <c r="D5" s="63" t="inlineStr">
        <is>
          <t>EXTRA</t>
        </is>
      </c>
      <c r="E5" s="63" t="inlineStr">
        <is>
          <t>STORY</t>
        </is>
      </c>
      <c r="F5" s="63" t="inlineStr">
        <is>
          <t>maicao</t>
        </is>
      </c>
      <c r="G5" s="63" t="inlineStr">
        <is>
          <t>dcto banco estado</t>
        </is>
      </c>
      <c r="H5" s="63" t="str"/>
      <c r="I5" s="63" t="str"/>
      <c r="J5" s="63" t="str"/>
      <c r="K5" s="63" t="n">
        <v>4842</v>
      </c>
      <c r="L5" s="63" t="n">
        <v>3989</v>
      </c>
      <c r="M5" s="63" t="n">
        <v>19</v>
      </c>
      <c r="N5" s="63" t="n">
        <v>1</v>
      </c>
      <c r="O5" s="63" t="n">
        <v>2</v>
      </c>
      <c r="P5" s="63" t="n">
        <v>0</v>
      </c>
      <c r="Q5" s="63" t="n">
        <v>0</v>
      </c>
      <c r="R5" s="63" t="n">
        <v>0</v>
      </c>
      <c r="S5" s="63" t="n">
        <v>98</v>
      </c>
      <c r="T5" s="63" t="n">
        <v>120</v>
      </c>
      <c r="U5" s="63" t="n">
        <v>3.00827275</v>
      </c>
      <c r="V5" s="63" t="str"/>
      <c r="W5" s="63" t="n">
        <v>0</v>
      </c>
      <c r="X5" s="63" t="str"/>
      <c r="Y5" s="63" t="inlineStr">
        <is>
          <t>Sí</t>
        </is>
      </c>
      <c r="Z5" s="63" t="inlineStr">
        <is>
          <t>Sí</t>
        </is>
      </c>
      <c r="AA5" s="63" t="inlineStr">
        <is>
          <t>No</t>
        </is>
      </c>
      <c r="AB5" s="63" t="inlineStr">
        <is>
          <t>No</t>
        </is>
      </c>
      <c r="AC5" s="63" t="str"/>
      <c r="AD5" s="64" t="str"/>
    </row>
    <row r="6">
      <c r="A6" s="62" t="inlineStr">
        <is>
          <t>Marzo 2026</t>
        </is>
      </c>
      <c r="B6" s="63" t="n"/>
      <c r="C6" s="63" t="inlineStr">
        <is>
          <t>Instagram</t>
        </is>
      </c>
      <c r="D6" s="63" t="inlineStr">
        <is>
          <t>CONCURSO</t>
        </is>
      </c>
      <c r="E6" s="63" t="inlineStr">
        <is>
          <t>STORY</t>
        </is>
      </c>
      <c r="F6" s="63" t="inlineStr">
        <is>
          <t>maicao</t>
        </is>
      </c>
      <c r="G6" s="63" t="inlineStr">
        <is>
          <t>ganador essence catrice</t>
        </is>
      </c>
      <c r="H6" s="63" t="str"/>
      <c r="I6" s="63" t="str"/>
      <c r="J6" s="63" t="str"/>
      <c r="K6" s="63" t="n">
        <v>6556</v>
      </c>
      <c r="L6" s="63" t="n">
        <v>5440</v>
      </c>
      <c r="M6" s="63" t="n">
        <v>53</v>
      </c>
      <c r="N6" s="63" t="n">
        <v>9</v>
      </c>
      <c r="O6" s="63" t="n">
        <v>10</v>
      </c>
      <c r="P6" s="63" t="n">
        <v>0</v>
      </c>
      <c r="Q6" s="63" t="n">
        <v>0</v>
      </c>
      <c r="R6" s="63" t="n">
        <v>73</v>
      </c>
      <c r="S6" s="63" t="n">
        <v>0</v>
      </c>
      <c r="T6" s="63" t="n">
        <v>145</v>
      </c>
      <c r="U6" s="63" t="n">
        <v>2.665441176</v>
      </c>
      <c r="V6" s="63" t="str"/>
      <c r="W6" s="63" t="n">
        <v>0</v>
      </c>
      <c r="X6" s="63" t="str"/>
      <c r="Y6" s="63" t="inlineStr">
        <is>
          <t>Sí</t>
        </is>
      </c>
      <c r="Z6" s="63" t="inlineStr">
        <is>
          <t>Sí</t>
        </is>
      </c>
      <c r="AA6" s="63" t="inlineStr">
        <is>
          <t>No</t>
        </is>
      </c>
      <c r="AB6" s="63" t="inlineStr">
        <is>
          <t>No</t>
        </is>
      </c>
      <c r="AC6" s="63" t="str"/>
      <c r="AD6" s="64" t="str"/>
    </row>
    <row r="7">
      <c r="A7" s="62" t="inlineStr">
        <is>
          <t>Marzo 2026</t>
        </is>
      </c>
      <c r="B7" s="63" t="n"/>
      <c r="C7" s="63" t="inlineStr">
        <is>
          <t>Instagram</t>
        </is>
      </c>
      <c r="D7" s="63" t="inlineStr">
        <is>
          <t>CAMPAÑA</t>
        </is>
      </c>
      <c r="E7" s="63" t="inlineStr">
        <is>
          <t>STORY</t>
        </is>
      </c>
      <c r="F7" s="63" t="inlineStr">
        <is>
          <t>maicao</t>
        </is>
      </c>
      <c r="G7" s="63" t="inlineStr">
        <is>
          <t>Bienvenida squad y consejeras</t>
        </is>
      </c>
      <c r="H7" s="63" t="str"/>
      <c r="I7" s="63" t="str"/>
      <c r="J7" s="63" t="str"/>
      <c r="K7" s="63" t="n">
        <v>3047</v>
      </c>
      <c r="L7" s="63" t="n">
        <v>2580</v>
      </c>
      <c r="M7" s="63" t="n">
        <v>54</v>
      </c>
      <c r="N7" s="63" t="n">
        <v>1</v>
      </c>
      <c r="O7" s="63" t="n">
        <v>6</v>
      </c>
      <c r="P7" s="63" t="n">
        <v>0</v>
      </c>
      <c r="Q7" s="63" t="n">
        <v>0</v>
      </c>
      <c r="R7" s="63" t="n">
        <v>0</v>
      </c>
      <c r="S7" s="63" t="n">
        <v>0</v>
      </c>
      <c r="T7" s="63" t="n">
        <v>61</v>
      </c>
      <c r="U7" s="63" t="n">
        <v>2.364341085</v>
      </c>
      <c r="V7" s="63" t="str"/>
      <c r="W7" s="63" t="n">
        <v>0</v>
      </c>
      <c r="X7" s="63" t="str"/>
      <c r="Y7" s="63" t="inlineStr">
        <is>
          <t>Sí</t>
        </is>
      </c>
      <c r="Z7" s="63" t="inlineStr">
        <is>
          <t>Sí</t>
        </is>
      </c>
      <c r="AA7" s="63" t="inlineStr">
        <is>
          <t>No</t>
        </is>
      </c>
      <c r="AB7" s="63" t="inlineStr">
        <is>
          <t>No</t>
        </is>
      </c>
      <c r="AC7" s="63" t="str"/>
      <c r="AD7" s="64" t="str"/>
    </row>
    <row r="8">
      <c r="A8" s="62" t="inlineStr">
        <is>
          <t>Marzo 2026</t>
        </is>
      </c>
      <c r="B8" s="63" t="n"/>
      <c r="C8" s="63" t="inlineStr">
        <is>
          <t>Instagram</t>
        </is>
      </c>
      <c r="D8" s="63" t="inlineStr">
        <is>
          <t>EXTRA</t>
        </is>
      </c>
      <c r="E8" s="63" t="inlineStr">
        <is>
          <t>STORY</t>
        </is>
      </c>
      <c r="F8" s="63" t="inlineStr">
        <is>
          <t>maicao</t>
        </is>
      </c>
      <c r="G8" s="63" t="inlineStr">
        <is>
          <t>Repost la busquilla "bienvenida squad"</t>
        </is>
      </c>
      <c r="H8" s="63" t="str"/>
      <c r="I8" s="63" t="str"/>
      <c r="J8" s="63" t="str"/>
      <c r="K8" s="63" t="n">
        <v>2541</v>
      </c>
      <c r="L8" s="63" t="n">
        <v>2207</v>
      </c>
      <c r="M8" s="63" t="n">
        <v>24</v>
      </c>
      <c r="N8" s="63" t="n">
        <v>1</v>
      </c>
      <c r="O8" s="63" t="n">
        <v>0</v>
      </c>
      <c r="P8" s="63" t="n">
        <v>0</v>
      </c>
      <c r="Q8" s="63" t="n">
        <v>0</v>
      </c>
      <c r="R8" s="63" t="n">
        <v>16</v>
      </c>
      <c r="S8" s="63" t="n">
        <v>0</v>
      </c>
      <c r="T8" s="63" t="n">
        <v>41</v>
      </c>
      <c r="U8" s="63" t="n">
        <v>1.857725419</v>
      </c>
      <c r="V8" s="63" t="str"/>
      <c r="W8" s="63" t="n">
        <v>0</v>
      </c>
      <c r="X8" s="63" t="str"/>
      <c r="Y8" s="63" t="inlineStr">
        <is>
          <t>Sí</t>
        </is>
      </c>
      <c r="Z8" s="63" t="inlineStr">
        <is>
          <t>Sí</t>
        </is>
      </c>
      <c r="AA8" s="63" t="inlineStr">
        <is>
          <t>No</t>
        </is>
      </c>
      <c r="AB8" s="63" t="inlineStr">
        <is>
          <t>No</t>
        </is>
      </c>
      <c r="AC8" s="63" t="str"/>
      <c r="AD8" s="64" t="str"/>
    </row>
    <row r="9">
      <c r="A9" s="62" t="inlineStr">
        <is>
          <t>Marzo 2026</t>
        </is>
      </c>
      <c r="B9" s="63" t="n"/>
      <c r="C9" s="63" t="inlineStr">
        <is>
          <t>Instagram</t>
        </is>
      </c>
      <c r="D9" s="63" t="inlineStr">
        <is>
          <t>EXTRA</t>
        </is>
      </c>
      <c r="E9" s="63" t="inlineStr">
        <is>
          <t>STORY</t>
        </is>
      </c>
      <c r="F9" s="63" t="inlineStr">
        <is>
          <t>maicao</t>
        </is>
      </c>
      <c r="G9" s="63" t="inlineStr">
        <is>
          <t>repost skar "bienvenida squad"</t>
        </is>
      </c>
      <c r="H9" s="63" t="str"/>
      <c r="I9" s="63" t="str"/>
      <c r="J9" s="63" t="str"/>
      <c r="K9" s="63" t="n">
        <v>2450</v>
      </c>
      <c r="L9" s="63" t="n">
        <v>2090</v>
      </c>
      <c r="M9" s="63" t="n">
        <v>46</v>
      </c>
      <c r="N9" s="63" t="n">
        <v>2</v>
      </c>
      <c r="O9" s="63" t="n">
        <v>0</v>
      </c>
      <c r="P9" s="63" t="n">
        <v>0</v>
      </c>
      <c r="Q9" s="63" t="n">
        <v>0</v>
      </c>
      <c r="R9" s="63" t="n">
        <v>10</v>
      </c>
      <c r="S9" s="63" t="n">
        <v>0</v>
      </c>
      <c r="T9" s="63" t="n">
        <v>58</v>
      </c>
      <c r="U9" s="63" t="n">
        <v>2.775119617</v>
      </c>
      <c r="V9" s="63" t="str"/>
      <c r="W9" s="63" t="n">
        <v>0</v>
      </c>
      <c r="X9" s="63" t="str"/>
      <c r="Y9" s="63" t="inlineStr">
        <is>
          <t>Sí</t>
        </is>
      </c>
      <c r="Z9" s="63" t="inlineStr">
        <is>
          <t>Sí</t>
        </is>
      </c>
      <c r="AA9" s="63" t="inlineStr">
        <is>
          <t>No</t>
        </is>
      </c>
      <c r="AB9" s="63" t="inlineStr">
        <is>
          <t>No</t>
        </is>
      </c>
      <c r="AC9" s="63" t="str"/>
      <c r="AD9" s="64" t="str"/>
    </row>
    <row r="10">
      <c r="A10" s="62" t="inlineStr">
        <is>
          <t>Marzo 2026</t>
        </is>
      </c>
      <c r="B10" s="63" t="n"/>
      <c r="C10" s="63" t="inlineStr">
        <is>
          <t>Instagram</t>
        </is>
      </c>
      <c r="D10" s="63" t="inlineStr">
        <is>
          <t>EXTRA</t>
        </is>
      </c>
      <c r="E10" s="63" t="inlineStr">
        <is>
          <t>STORY</t>
        </is>
      </c>
      <c r="F10" s="63" t="inlineStr">
        <is>
          <t>maicao</t>
        </is>
      </c>
      <c r="G10" s="63" t="inlineStr">
        <is>
          <t>repost disley "bienvenida squad"</t>
        </is>
      </c>
      <c r="H10" s="63" t="str"/>
      <c r="I10" s="63" t="str"/>
      <c r="J10" s="63" t="str"/>
      <c r="K10" s="63" t="n">
        <v>2445</v>
      </c>
      <c r="L10" s="63" t="n">
        <v>1998</v>
      </c>
      <c r="M10" s="63" t="n">
        <v>34</v>
      </c>
      <c r="N10" s="63" t="n">
        <v>0</v>
      </c>
      <c r="O10" s="63" t="n">
        <v>1</v>
      </c>
      <c r="P10" s="63" t="n">
        <v>0</v>
      </c>
      <c r="Q10" s="63" t="n">
        <v>0</v>
      </c>
      <c r="R10" s="63" t="n">
        <v>16</v>
      </c>
      <c r="S10" s="63" t="n">
        <v>0</v>
      </c>
      <c r="T10" s="63" t="n">
        <v>51</v>
      </c>
      <c r="U10" s="63" t="n">
        <v>2.552552553</v>
      </c>
      <c r="V10" s="63" t="str"/>
      <c r="W10" s="63" t="n">
        <v>0</v>
      </c>
      <c r="X10" s="63" t="str"/>
      <c r="Y10" s="63" t="inlineStr">
        <is>
          <t>Sí</t>
        </is>
      </c>
      <c r="Z10" s="63" t="inlineStr">
        <is>
          <t>Sí</t>
        </is>
      </c>
      <c r="AA10" s="63" t="inlineStr">
        <is>
          <t>No</t>
        </is>
      </c>
      <c r="AB10" s="63" t="inlineStr">
        <is>
          <t>No</t>
        </is>
      </c>
      <c r="AC10" s="63" t="str"/>
      <c r="AD10" s="64" t="str"/>
    </row>
    <row r="11">
      <c r="A11" s="62" t="inlineStr">
        <is>
          <t>Marzo 2026</t>
        </is>
      </c>
      <c r="B11" s="63" t="n"/>
      <c r="C11" s="63" t="inlineStr">
        <is>
          <t>Instagram</t>
        </is>
      </c>
      <c r="D11" s="63" t="inlineStr">
        <is>
          <t>EXTRA</t>
        </is>
      </c>
      <c r="E11" s="63" t="inlineStr">
        <is>
          <t>STORY</t>
        </is>
      </c>
      <c r="F11" s="63" t="inlineStr">
        <is>
          <t>maicao</t>
        </is>
      </c>
      <c r="G11" s="63" t="inlineStr">
        <is>
          <t>repost conibulnesc "bienvenida squad"</t>
        </is>
      </c>
      <c r="H11" s="63" t="str"/>
      <c r="I11" s="63" t="str"/>
      <c r="J11" s="63" t="str"/>
      <c r="K11" s="63" t="n">
        <v>2293</v>
      </c>
      <c r="L11" s="63" t="n">
        <v>1946</v>
      </c>
      <c r="M11" s="63" t="n">
        <v>19</v>
      </c>
      <c r="N11" s="63" t="n">
        <v>1</v>
      </c>
      <c r="O11" s="63" t="n">
        <v>0</v>
      </c>
      <c r="P11" s="63" t="n">
        <v>0</v>
      </c>
      <c r="Q11" s="63" t="n">
        <v>0</v>
      </c>
      <c r="R11" s="63" t="n">
        <v>17</v>
      </c>
      <c r="S11" s="63" t="n">
        <v>0</v>
      </c>
      <c r="T11" s="63" t="n">
        <v>37</v>
      </c>
      <c r="U11" s="63" t="n">
        <v>1.901336074</v>
      </c>
      <c r="V11" s="63" t="str"/>
      <c r="W11" s="63" t="n">
        <v>0</v>
      </c>
      <c r="X11" s="63" t="str"/>
      <c r="Y11" s="63" t="inlineStr">
        <is>
          <t>Sí</t>
        </is>
      </c>
      <c r="Z11" s="63" t="inlineStr">
        <is>
          <t>Sí</t>
        </is>
      </c>
      <c r="AA11" s="63" t="inlineStr">
        <is>
          <t>No</t>
        </is>
      </c>
      <c r="AB11" s="63" t="inlineStr">
        <is>
          <t>No</t>
        </is>
      </c>
      <c r="AC11" s="63" t="str"/>
      <c r="AD11" s="64" t="str"/>
    </row>
    <row r="12">
      <c r="A12" s="62" t="inlineStr">
        <is>
          <t>Marzo 2026</t>
        </is>
      </c>
      <c r="B12" s="63" t="n"/>
      <c r="C12" s="63" t="inlineStr">
        <is>
          <t>Instagram</t>
        </is>
      </c>
      <c r="D12" s="63" t="inlineStr">
        <is>
          <t>CAMPAÑA</t>
        </is>
      </c>
      <c r="E12" s="63" t="inlineStr">
        <is>
          <t>STORY</t>
        </is>
      </c>
      <c r="F12" s="63" t="inlineStr">
        <is>
          <t>maicao</t>
        </is>
      </c>
      <c r="G12" s="63" t="inlineStr">
        <is>
          <t>Bienvenida squad y consejeras</t>
        </is>
      </c>
      <c r="H12" s="63" t="str"/>
      <c r="I12" s="63" t="str"/>
      <c r="J12" s="63" t="str"/>
      <c r="K12" s="63" t="n">
        <v>2465</v>
      </c>
      <c r="L12" s="63" t="n">
        <v>2060</v>
      </c>
      <c r="M12" s="63" t="n">
        <v>22</v>
      </c>
      <c r="N12" s="63" t="n">
        <v>3</v>
      </c>
      <c r="O12" s="63" t="n">
        <v>4</v>
      </c>
      <c r="P12" s="63" t="n">
        <v>0</v>
      </c>
      <c r="Q12" s="63" t="n">
        <v>0</v>
      </c>
      <c r="R12" s="63" t="n">
        <v>8</v>
      </c>
      <c r="S12" s="63" t="n">
        <v>0</v>
      </c>
      <c r="T12" s="63" t="n">
        <v>37</v>
      </c>
      <c r="U12" s="63" t="n">
        <v>1.796116505</v>
      </c>
      <c r="V12" s="63" t="str"/>
      <c r="W12" s="63" t="n">
        <v>0</v>
      </c>
      <c r="X12" s="63" t="str"/>
      <c r="Y12" s="63" t="inlineStr">
        <is>
          <t>Sí</t>
        </is>
      </c>
      <c r="Z12" s="63" t="inlineStr">
        <is>
          <t>Sí</t>
        </is>
      </c>
      <c r="AA12" s="63" t="inlineStr">
        <is>
          <t>No</t>
        </is>
      </c>
      <c r="AB12" s="63" t="inlineStr">
        <is>
          <t>No</t>
        </is>
      </c>
      <c r="AC12" s="63" t="str"/>
      <c r="AD12" s="64" t="str"/>
    </row>
    <row r="13">
      <c r="A13" s="62" t="inlineStr">
        <is>
          <t>Marzo 2026</t>
        </is>
      </c>
      <c r="B13" s="63" t="n"/>
      <c r="C13" s="63" t="inlineStr">
        <is>
          <t>Instagram</t>
        </is>
      </c>
      <c r="D13" s="63" t="inlineStr">
        <is>
          <t>EXTRA</t>
        </is>
      </c>
      <c r="E13" s="63" t="inlineStr">
        <is>
          <t>STORY</t>
        </is>
      </c>
      <c r="F13" s="63" t="inlineStr">
        <is>
          <t>maicao</t>
        </is>
      </c>
      <c r="G13" s="63" t="inlineStr">
        <is>
          <t>Repost la busquilla "bienvenida squad"</t>
        </is>
      </c>
      <c r="H13" s="63" t="str"/>
      <c r="I13" s="63" t="str"/>
      <c r="J13" s="63" t="str"/>
      <c r="K13" s="63" t="n">
        <v>2989</v>
      </c>
      <c r="L13" s="63" t="n">
        <v>2319</v>
      </c>
      <c r="M13" s="63" t="n">
        <v>27</v>
      </c>
      <c r="N13" s="63" t="n">
        <v>0</v>
      </c>
      <c r="O13" s="63" t="n">
        <v>3</v>
      </c>
      <c r="P13" s="63" t="n">
        <v>0</v>
      </c>
      <c r="Q13" s="63" t="n">
        <v>0</v>
      </c>
      <c r="R13" s="63" t="n">
        <v>4</v>
      </c>
      <c r="S13" s="63" t="n">
        <v>0</v>
      </c>
      <c r="T13" s="63" t="n">
        <v>34</v>
      </c>
      <c r="U13" s="63" t="n">
        <v>1.466149202</v>
      </c>
      <c r="V13" s="63" t="str"/>
      <c r="W13" s="63" t="n">
        <v>0</v>
      </c>
      <c r="X13" s="63" t="str"/>
      <c r="Y13" s="63" t="inlineStr">
        <is>
          <t>Sí</t>
        </is>
      </c>
      <c r="Z13" s="63" t="inlineStr">
        <is>
          <t>Sí</t>
        </is>
      </c>
      <c r="AA13" s="63" t="inlineStr">
        <is>
          <t>No</t>
        </is>
      </c>
      <c r="AB13" s="63" t="inlineStr">
        <is>
          <t>No</t>
        </is>
      </c>
      <c r="AC13" s="63" t="str"/>
      <c r="AD13" s="64" t="str"/>
    </row>
    <row r="14">
      <c r="A14" s="62" t="inlineStr">
        <is>
          <t>Marzo 2026</t>
        </is>
      </c>
      <c r="B14" s="63" t="n"/>
      <c r="C14" s="63" t="inlineStr">
        <is>
          <t>Instagram</t>
        </is>
      </c>
      <c r="D14" s="63" t="inlineStr">
        <is>
          <t>EXTRA</t>
        </is>
      </c>
      <c r="E14" s="63" t="inlineStr">
        <is>
          <t>STORY</t>
        </is>
      </c>
      <c r="F14" s="63" t="inlineStr">
        <is>
          <t>maicao</t>
        </is>
      </c>
      <c r="G14" s="63" t="inlineStr">
        <is>
          <t>repost skar dove en viña</t>
        </is>
      </c>
      <c r="H14" s="63" t="str"/>
      <c r="I14" s="63" t="str"/>
      <c r="J14" s="63" t="str"/>
      <c r="K14" s="63" t="n">
        <v>1892</v>
      </c>
      <c r="L14" s="63" t="n">
        <v>1666</v>
      </c>
      <c r="M14" s="63" t="n">
        <v>31</v>
      </c>
      <c r="N14" s="63" t="n">
        <v>0</v>
      </c>
      <c r="O14" s="63" t="n">
        <v>2</v>
      </c>
      <c r="P14" s="63" t="n">
        <v>0</v>
      </c>
      <c r="Q14" s="63" t="n">
        <v>0</v>
      </c>
      <c r="R14" s="63" t="n">
        <v>2</v>
      </c>
      <c r="S14" s="63" t="n">
        <v>0</v>
      </c>
      <c r="T14" s="63" t="n">
        <v>35</v>
      </c>
      <c r="U14" s="63" t="n">
        <v>2.100840336</v>
      </c>
      <c r="V14" s="63" t="str"/>
      <c r="W14" s="63" t="n">
        <v>0</v>
      </c>
      <c r="X14" s="63" t="str"/>
      <c r="Y14" s="63" t="inlineStr">
        <is>
          <t>Sí</t>
        </is>
      </c>
      <c r="Z14" s="63" t="inlineStr">
        <is>
          <t>Sí</t>
        </is>
      </c>
      <c r="AA14" s="63" t="inlineStr">
        <is>
          <t>No</t>
        </is>
      </c>
      <c r="AB14" s="63" t="inlineStr">
        <is>
          <t>No</t>
        </is>
      </c>
      <c r="AC14" s="63" t="str"/>
      <c r="AD14" s="64" t="str"/>
    </row>
    <row r="15">
      <c r="A15" s="62" t="inlineStr">
        <is>
          <t>Marzo 2026</t>
        </is>
      </c>
      <c r="B15" s="63" t="n"/>
      <c r="C15" s="63" t="inlineStr">
        <is>
          <t>Instagram</t>
        </is>
      </c>
      <c r="D15" s="63" t="inlineStr">
        <is>
          <t>EXTRA</t>
        </is>
      </c>
      <c r="E15" s="63" t="inlineStr">
        <is>
          <t>STORY</t>
        </is>
      </c>
      <c r="F15" s="63" t="inlineStr">
        <is>
          <t>maicao</t>
        </is>
      </c>
      <c r="G15" s="63" t="inlineStr">
        <is>
          <t>repost iribarne.din</t>
        </is>
      </c>
      <c r="H15" s="63" t="str"/>
      <c r="I15" s="63" t="str"/>
      <c r="J15" s="63" t="str"/>
      <c r="K15" s="63" t="n">
        <v>2127</v>
      </c>
      <c r="L15" s="63" t="n">
        <v>1988</v>
      </c>
      <c r="M15" s="63" t="n">
        <v>19</v>
      </c>
      <c r="N15" s="63" t="n">
        <v>1</v>
      </c>
      <c r="O15" s="63" t="n">
        <v>0</v>
      </c>
      <c r="P15" s="63" t="n">
        <v>0</v>
      </c>
      <c r="Q15" s="63" t="n">
        <v>0</v>
      </c>
      <c r="R15" s="63" t="n">
        <v>10</v>
      </c>
      <c r="S15" s="63" t="n">
        <v>0</v>
      </c>
      <c r="T15" s="63" t="n">
        <v>30</v>
      </c>
      <c r="U15" s="63" t="n">
        <v>1.509054326</v>
      </c>
      <c r="V15" s="63" t="str"/>
      <c r="W15" s="63" t="n">
        <v>0</v>
      </c>
      <c r="X15" s="63" t="str"/>
      <c r="Y15" s="63" t="inlineStr">
        <is>
          <t>Sí</t>
        </is>
      </c>
      <c r="Z15" s="63" t="inlineStr">
        <is>
          <t>Sí</t>
        </is>
      </c>
      <c r="AA15" s="63" t="inlineStr">
        <is>
          <t>No</t>
        </is>
      </c>
      <c r="AB15" s="63" t="inlineStr">
        <is>
          <t>No</t>
        </is>
      </c>
      <c r="AC15" s="63" t="str"/>
      <c r="AD15" s="64" t="str"/>
    </row>
    <row r="16">
      <c r="A16" s="62" t="inlineStr">
        <is>
          <t>Marzo 2026</t>
        </is>
      </c>
      <c r="B16" s="63" t="n"/>
      <c r="C16" s="63" t="inlineStr">
        <is>
          <t>Instagram</t>
        </is>
      </c>
      <c r="D16" s="63" t="inlineStr">
        <is>
          <t>EXTRA</t>
        </is>
      </c>
      <c r="E16" s="63" t="inlineStr">
        <is>
          <t>STORY</t>
        </is>
      </c>
      <c r="F16" s="63" t="inlineStr">
        <is>
          <t>maicao</t>
        </is>
      </c>
      <c r="G16" s="63" t="inlineStr">
        <is>
          <t>repost iribarne.din</t>
        </is>
      </c>
      <c r="H16" s="63" t="str"/>
      <c r="I16" s="63" t="str"/>
      <c r="J16" s="63" t="str"/>
      <c r="K16" s="63" t="n">
        <v>1990</v>
      </c>
      <c r="L16" s="63" t="n">
        <v>1847</v>
      </c>
      <c r="M16" s="63" t="n">
        <v>20</v>
      </c>
      <c r="N16" s="63" t="n">
        <v>2</v>
      </c>
      <c r="O16" s="63" t="n">
        <v>1</v>
      </c>
      <c r="P16" s="63" t="n">
        <v>0</v>
      </c>
      <c r="Q16" s="63" t="n">
        <v>0</v>
      </c>
      <c r="R16" s="63" t="n">
        <v>2</v>
      </c>
      <c r="S16" s="63" t="n">
        <v>0</v>
      </c>
      <c r="T16" s="63" t="n">
        <v>25</v>
      </c>
      <c r="U16" s="63" t="n">
        <v>1.353546291</v>
      </c>
      <c r="V16" s="63" t="str"/>
      <c r="W16" s="63" t="n">
        <v>0</v>
      </c>
      <c r="X16" s="63" t="str"/>
      <c r="Y16" s="63" t="inlineStr">
        <is>
          <t>Sí</t>
        </is>
      </c>
      <c r="Z16" s="63" t="inlineStr">
        <is>
          <t>Sí</t>
        </is>
      </c>
      <c r="AA16" s="63" t="inlineStr">
        <is>
          <t>No</t>
        </is>
      </c>
      <c r="AB16" s="63" t="inlineStr">
        <is>
          <t>No</t>
        </is>
      </c>
      <c r="AC16" s="63" t="str"/>
      <c r="AD16" s="64" t="str"/>
    </row>
    <row r="17">
      <c r="A17" s="62" t="inlineStr">
        <is>
          <t>Marzo 2026</t>
        </is>
      </c>
      <c r="B17" s="63" t="n"/>
      <c r="C17" s="63" t="inlineStr">
        <is>
          <t>Instagram</t>
        </is>
      </c>
      <c r="D17" s="63" t="inlineStr">
        <is>
          <t>EXTRA</t>
        </is>
      </c>
      <c r="E17" s="63" t="inlineStr">
        <is>
          <t>STORY</t>
        </is>
      </c>
      <c r="F17" s="63" t="inlineStr">
        <is>
          <t>maicao</t>
        </is>
      </c>
      <c r="G17" s="63" t="inlineStr">
        <is>
          <t>repost iribarne.din</t>
        </is>
      </c>
      <c r="H17" s="63" t="str"/>
      <c r="I17" s="63" t="str"/>
      <c r="J17" s="63" t="str"/>
      <c r="K17" s="63" t="n">
        <v>1907</v>
      </c>
      <c r="L17" s="63" t="n">
        <v>1772</v>
      </c>
      <c r="M17" s="63" t="n">
        <v>15</v>
      </c>
      <c r="N17" s="63" t="n">
        <v>0</v>
      </c>
      <c r="O17" s="63" t="n">
        <v>0</v>
      </c>
      <c r="P17" s="63" t="n">
        <v>0</v>
      </c>
      <c r="Q17" s="63" t="n">
        <v>0</v>
      </c>
      <c r="R17" s="63" t="n">
        <v>2</v>
      </c>
      <c r="S17" s="63" t="n">
        <v>0</v>
      </c>
      <c r="T17" s="63" t="n">
        <v>17</v>
      </c>
      <c r="U17" s="63" t="n">
        <v>0.9593679458</v>
      </c>
      <c r="V17" s="63" t="str"/>
      <c r="W17" s="63" t="n">
        <v>0</v>
      </c>
      <c r="X17" s="63" t="str"/>
      <c r="Y17" s="63" t="inlineStr">
        <is>
          <t>Sí</t>
        </is>
      </c>
      <c r="Z17" s="63" t="inlineStr">
        <is>
          <t>Sí</t>
        </is>
      </c>
      <c r="AA17" s="63" t="inlineStr">
        <is>
          <t>No</t>
        </is>
      </c>
      <c r="AB17" s="63" t="inlineStr">
        <is>
          <t>No</t>
        </is>
      </c>
      <c r="AC17" s="63" t="str"/>
      <c r="AD17" s="64" t="str"/>
    </row>
    <row r="18">
      <c r="A18" s="62" t="inlineStr">
        <is>
          <t>Marzo 2026</t>
        </is>
      </c>
      <c r="B18" s="63" t="n"/>
      <c r="C18" s="63" t="inlineStr">
        <is>
          <t>Instagram</t>
        </is>
      </c>
      <c r="D18" s="63" t="inlineStr">
        <is>
          <t>EXTRA</t>
        </is>
      </c>
      <c r="E18" s="63" t="inlineStr">
        <is>
          <t>STORY</t>
        </is>
      </c>
      <c r="F18" s="63" t="inlineStr">
        <is>
          <t>maicao</t>
        </is>
      </c>
      <c r="G18" s="63" t="inlineStr">
        <is>
          <t>repost iribarne.din</t>
        </is>
      </c>
      <c r="H18" s="63" t="str"/>
      <c r="I18" s="63" t="str"/>
      <c r="J18" s="63" t="str"/>
      <c r="K18" s="63" t="n">
        <v>1868</v>
      </c>
      <c r="L18" s="63" t="n">
        <v>1723</v>
      </c>
      <c r="M18" s="63" t="n">
        <v>14</v>
      </c>
      <c r="N18" s="63" t="n">
        <v>1</v>
      </c>
      <c r="O18" s="63" t="n">
        <v>18</v>
      </c>
      <c r="P18" s="63" t="n">
        <v>0</v>
      </c>
      <c r="Q18" s="63" t="n">
        <v>0</v>
      </c>
      <c r="R18" s="63" t="n">
        <v>7</v>
      </c>
      <c r="S18" s="63" t="n">
        <v>0</v>
      </c>
      <c r="T18" s="63" t="n">
        <v>40</v>
      </c>
      <c r="U18" s="63" t="n">
        <v>2.321532211</v>
      </c>
      <c r="V18" s="63" t="str"/>
      <c r="W18" s="63" t="n">
        <v>0</v>
      </c>
      <c r="X18" s="63" t="str"/>
      <c r="Y18" s="63" t="inlineStr">
        <is>
          <t>Sí</t>
        </is>
      </c>
      <c r="Z18" s="63" t="inlineStr">
        <is>
          <t>Sí</t>
        </is>
      </c>
      <c r="AA18" s="63" t="inlineStr">
        <is>
          <t>No</t>
        </is>
      </c>
      <c r="AB18" s="63" t="inlineStr">
        <is>
          <t>No</t>
        </is>
      </c>
      <c r="AC18" s="63" t="str"/>
      <c r="AD18" s="64" t="str"/>
    </row>
    <row r="19">
      <c r="A19" s="62" t="inlineStr">
        <is>
          <t>Marzo 2026</t>
        </is>
      </c>
      <c r="B19" s="63" t="n"/>
      <c r="C19" s="63" t="inlineStr">
        <is>
          <t>Instagram</t>
        </is>
      </c>
      <c r="D19" s="63" t="inlineStr">
        <is>
          <t>CAMPAÑA</t>
        </is>
      </c>
      <c r="E19" s="63" t="inlineStr">
        <is>
          <t>STORY</t>
        </is>
      </c>
      <c r="F19" s="63" t="inlineStr">
        <is>
          <t>maicao</t>
        </is>
      </c>
      <c r="G19" s="63" t="inlineStr">
        <is>
          <t>productos a 1000</t>
        </is>
      </c>
      <c r="H19" s="63" t="str"/>
      <c r="I19" s="63" t="str"/>
      <c r="J19" s="63" t="str"/>
      <c r="K19" s="63" t="n">
        <v>2671</v>
      </c>
      <c r="L19" s="63" t="n">
        <v>2231</v>
      </c>
      <c r="M19" s="63" t="n">
        <v>16</v>
      </c>
      <c r="N19" s="63" t="n">
        <v>1</v>
      </c>
      <c r="O19" s="63" t="n">
        <v>1</v>
      </c>
      <c r="P19" s="63" t="n">
        <v>0</v>
      </c>
      <c r="Q19" s="63" t="n">
        <v>0</v>
      </c>
      <c r="R19" s="63" t="n">
        <v>0</v>
      </c>
      <c r="S19" s="63" t="n">
        <v>62</v>
      </c>
      <c r="T19" s="63" t="n">
        <v>80</v>
      </c>
      <c r="U19" s="63" t="n">
        <v>3.585835948</v>
      </c>
      <c r="V19" s="63" t="str"/>
      <c r="W19" s="63" t="n">
        <v>0</v>
      </c>
      <c r="X19" s="63" t="str"/>
      <c r="Y19" s="63" t="inlineStr">
        <is>
          <t>Sí</t>
        </is>
      </c>
      <c r="Z19" s="63" t="inlineStr">
        <is>
          <t>Sí</t>
        </is>
      </c>
      <c r="AA19" s="63" t="inlineStr">
        <is>
          <t>No</t>
        </is>
      </c>
      <c r="AB19" s="63" t="inlineStr">
        <is>
          <t>No</t>
        </is>
      </c>
      <c r="AC19" s="63" t="str"/>
      <c r="AD19" s="64" t="str"/>
    </row>
    <row r="20">
      <c r="A20" s="62" t="inlineStr">
        <is>
          <t>Marzo 2026</t>
        </is>
      </c>
      <c r="B20" s="63" t="n"/>
      <c r="C20" s="63" t="inlineStr">
        <is>
          <t>Instagram</t>
        </is>
      </c>
      <c r="D20" s="63" t="inlineStr">
        <is>
          <t>CAMPAÑA</t>
        </is>
      </c>
      <c r="E20" s="63" t="inlineStr">
        <is>
          <t>STORY</t>
        </is>
      </c>
      <c r="F20" s="63" t="inlineStr">
        <is>
          <t>maicao</t>
        </is>
      </c>
      <c r="G20" s="63" t="inlineStr">
        <is>
          <t>elvive colageno</t>
        </is>
      </c>
      <c r="H20" s="63" t="str"/>
      <c r="I20" s="63" t="str"/>
      <c r="J20" s="63" t="str"/>
      <c r="K20" s="63" t="n">
        <v>2412</v>
      </c>
      <c r="L20" s="63" t="n">
        <v>2063</v>
      </c>
      <c r="M20" s="63" t="n">
        <v>15</v>
      </c>
      <c r="N20" s="63" t="n">
        <v>1</v>
      </c>
      <c r="O20" s="63" t="n">
        <v>0</v>
      </c>
      <c r="P20" s="63" t="n">
        <v>0</v>
      </c>
      <c r="Q20" s="63" t="n">
        <v>0</v>
      </c>
      <c r="R20" s="63" t="n">
        <v>0</v>
      </c>
      <c r="S20" s="63" t="n">
        <v>10</v>
      </c>
      <c r="T20" s="63" t="n">
        <v>26</v>
      </c>
      <c r="U20" s="63" t="n">
        <v>1.260300533</v>
      </c>
      <c r="V20" s="63" t="str"/>
      <c r="W20" s="63" t="n">
        <v>0</v>
      </c>
      <c r="X20" s="63" t="str"/>
      <c r="Y20" s="63" t="inlineStr">
        <is>
          <t>Sí</t>
        </is>
      </c>
      <c r="Z20" s="63" t="inlineStr">
        <is>
          <t>Sí</t>
        </is>
      </c>
      <c r="AA20" s="63" t="inlineStr">
        <is>
          <t>No</t>
        </is>
      </c>
      <c r="AB20" s="63" t="inlineStr">
        <is>
          <t>No</t>
        </is>
      </c>
      <c r="AC20" s="63" t="str"/>
      <c r="AD20" s="64" t="str"/>
    </row>
    <row r="21">
      <c r="A21" s="62" t="inlineStr">
        <is>
          <t>Marzo 2026</t>
        </is>
      </c>
      <c r="B21" s="63" t="n"/>
      <c r="C21" s="63" t="inlineStr">
        <is>
          <t>Instagram</t>
        </is>
      </c>
      <c r="D21" s="63" t="inlineStr">
        <is>
          <t>EXTRA</t>
        </is>
      </c>
      <c r="E21" s="63" t="inlineStr">
        <is>
          <t>STORY</t>
        </is>
      </c>
      <c r="F21" s="63" t="inlineStr">
        <is>
          <t>maicao</t>
        </is>
      </c>
      <c r="G21" s="63" t="inlineStr">
        <is>
          <t>repost la busquilla (orgánica)</t>
        </is>
      </c>
      <c r="H21" s="63" t="str"/>
      <c r="I21" s="63" t="str"/>
      <c r="J21" s="63" t="str"/>
      <c r="K21" s="63" t="n">
        <v>4043</v>
      </c>
      <c r="L21" s="63" t="n">
        <v>3355</v>
      </c>
      <c r="M21" s="63" t="n">
        <v>58</v>
      </c>
      <c r="N21" s="63" t="n">
        <v>2</v>
      </c>
      <c r="O21" s="63" t="n">
        <v>30</v>
      </c>
      <c r="P21" s="63" t="n">
        <v>0</v>
      </c>
      <c r="Q21" s="63" t="n">
        <v>0</v>
      </c>
      <c r="R21" s="63" t="n">
        <v>6</v>
      </c>
      <c r="S21" s="63" t="n">
        <v>0</v>
      </c>
      <c r="T21" s="63" t="n">
        <v>96</v>
      </c>
      <c r="U21" s="63" t="n">
        <v>2.861400894</v>
      </c>
      <c r="V21" s="63" t="str"/>
      <c r="W21" s="63" t="n">
        <v>0</v>
      </c>
      <c r="X21" s="63" t="str"/>
      <c r="Y21" s="63" t="inlineStr">
        <is>
          <t>Sí</t>
        </is>
      </c>
      <c r="Z21" s="63" t="inlineStr">
        <is>
          <t>Sí</t>
        </is>
      </c>
      <c r="AA21" s="63" t="inlineStr">
        <is>
          <t>No</t>
        </is>
      </c>
      <c r="AB21" s="63" t="inlineStr">
        <is>
          <t>No</t>
        </is>
      </c>
      <c r="AC21" s="63" t="str"/>
      <c r="AD21" s="64" t="str"/>
    </row>
    <row r="22">
      <c r="A22" s="62" t="inlineStr">
        <is>
          <t>Marzo 2026</t>
        </is>
      </c>
      <c r="B22" s="63" t="n"/>
      <c r="C22" s="63" t="inlineStr">
        <is>
          <t>Instagram</t>
        </is>
      </c>
      <c r="D22" s="63" t="inlineStr">
        <is>
          <t>EXTRA</t>
        </is>
      </c>
      <c r="E22" s="63" t="inlineStr">
        <is>
          <t>STORY</t>
        </is>
      </c>
      <c r="F22" s="63" t="inlineStr">
        <is>
          <t>maicao</t>
        </is>
      </c>
      <c r="G22" s="63" t="inlineStr">
        <is>
          <t>repost la busquilla máscara pestañas bubble</t>
        </is>
      </c>
      <c r="H22" s="63" t="str"/>
      <c r="I22" s="63" t="str"/>
      <c r="J22" s="63" t="str"/>
      <c r="K22" s="63" t="n">
        <v>3795</v>
      </c>
      <c r="L22" s="63" t="n">
        <v>3259</v>
      </c>
      <c r="M22" s="63" t="n">
        <v>20</v>
      </c>
      <c r="N22" s="63" t="n">
        <v>0</v>
      </c>
      <c r="O22" s="63" t="n">
        <v>3</v>
      </c>
      <c r="P22" s="63" t="n">
        <v>0</v>
      </c>
      <c r="Q22" s="63" t="n">
        <v>0</v>
      </c>
      <c r="R22" s="63" t="n">
        <v>4</v>
      </c>
      <c r="S22" s="63" t="n">
        <v>0</v>
      </c>
      <c r="T22" s="63" t="n">
        <v>27</v>
      </c>
      <c r="U22" s="63" t="n">
        <v>0.8284749923</v>
      </c>
      <c r="V22" s="63" t="str"/>
      <c r="W22" s="63" t="n">
        <v>0</v>
      </c>
      <c r="X22" s="63" t="str"/>
      <c r="Y22" s="63" t="inlineStr">
        <is>
          <t>Sí</t>
        </is>
      </c>
      <c r="Z22" s="63" t="inlineStr">
        <is>
          <t>Sí</t>
        </is>
      </c>
      <c r="AA22" s="63" t="inlineStr">
        <is>
          <t>No</t>
        </is>
      </c>
      <c r="AB22" s="63" t="inlineStr">
        <is>
          <t>No</t>
        </is>
      </c>
      <c r="AC22" s="63" t="str"/>
      <c r="AD22" s="64" t="str"/>
    </row>
    <row r="23">
      <c r="A23" s="62" t="inlineStr">
        <is>
          <t>Marzo 2026</t>
        </is>
      </c>
      <c r="B23" s="63" t="n"/>
      <c r="C23" s="63" t="inlineStr">
        <is>
          <t>Instagram</t>
        </is>
      </c>
      <c r="D23" s="63" t="inlineStr">
        <is>
          <t>EXTRA</t>
        </is>
      </c>
      <c r="E23" s="63" t="inlineStr">
        <is>
          <t>STORY</t>
        </is>
      </c>
      <c r="F23" s="63" t="inlineStr">
        <is>
          <t>maicao</t>
        </is>
      </c>
      <c r="G23" s="63" t="inlineStr">
        <is>
          <t>derivación a pinterest</t>
        </is>
      </c>
      <c r="H23" s="63" t="str"/>
      <c r="I23" s="63" t="str"/>
      <c r="J23" s="63" t="str"/>
      <c r="K23" s="63" t="n">
        <v>2537</v>
      </c>
      <c r="L23" s="63" t="n">
        <v>2240</v>
      </c>
      <c r="M23" s="63" t="n">
        <v>4</v>
      </c>
      <c r="N23" s="63" t="n">
        <v>0</v>
      </c>
      <c r="O23" s="63" t="n">
        <v>0</v>
      </c>
      <c r="P23" s="63" t="n">
        <v>0</v>
      </c>
      <c r="Q23" s="63" t="n">
        <v>0</v>
      </c>
      <c r="R23" s="63" t="n">
        <v>0</v>
      </c>
      <c r="S23" s="63" t="n">
        <v>17</v>
      </c>
      <c r="T23" s="63" t="n">
        <v>21</v>
      </c>
      <c r="U23" s="63" t="n">
        <v>0.9375</v>
      </c>
      <c r="V23" s="63" t="str"/>
      <c r="W23" s="63" t="n">
        <v>0</v>
      </c>
      <c r="X23" s="63" t="str"/>
      <c r="Y23" s="63" t="inlineStr">
        <is>
          <t>Sí</t>
        </is>
      </c>
      <c r="Z23" s="63" t="inlineStr">
        <is>
          <t>Sí</t>
        </is>
      </c>
      <c r="AA23" s="63" t="inlineStr">
        <is>
          <t>No</t>
        </is>
      </c>
      <c r="AB23" s="63" t="inlineStr">
        <is>
          <t>No</t>
        </is>
      </c>
      <c r="AC23" s="63" t="str"/>
      <c r="AD23" s="64" t="str"/>
    </row>
    <row r="24">
      <c r="A24" s="62" t="inlineStr">
        <is>
          <t>Marzo 2026</t>
        </is>
      </c>
      <c r="B24" s="63" t="n"/>
      <c r="C24" s="63" t="inlineStr">
        <is>
          <t>Instagram</t>
        </is>
      </c>
      <c r="D24" s="63" t="inlineStr">
        <is>
          <t>UGC</t>
        </is>
      </c>
      <c r="E24" s="63" t="inlineStr">
        <is>
          <t>STORY</t>
        </is>
      </c>
      <c r="F24" s="63" t="inlineStr">
        <is>
          <t>maicao</t>
        </is>
      </c>
      <c r="G24" s="63" t="inlineStr">
        <is>
          <t>repost ugc labiales bridgerton 1</t>
        </is>
      </c>
      <c r="H24" s="63" t="str"/>
      <c r="I24" s="63" t="str"/>
      <c r="J24" s="63" t="str"/>
      <c r="K24" s="63" t="n">
        <v>2571</v>
      </c>
      <c r="L24" s="63" t="n">
        <v>2085</v>
      </c>
      <c r="M24" s="63" t="n">
        <v>22</v>
      </c>
      <c r="N24" s="63" t="n">
        <v>0</v>
      </c>
      <c r="O24" s="63" t="n">
        <v>10</v>
      </c>
      <c r="P24" s="63" t="n">
        <v>0</v>
      </c>
      <c r="Q24" s="63" t="n">
        <v>0</v>
      </c>
      <c r="R24" s="63" t="n">
        <v>0</v>
      </c>
      <c r="S24" s="63" t="n">
        <v>0</v>
      </c>
      <c r="T24" s="63" t="n">
        <v>32</v>
      </c>
      <c r="U24" s="63" t="n">
        <v>1.534772182</v>
      </c>
      <c r="V24" s="63" t="str"/>
      <c r="W24" s="63" t="n">
        <v>0</v>
      </c>
      <c r="X24" s="63" t="str"/>
      <c r="Y24" s="63" t="inlineStr">
        <is>
          <t>Sí</t>
        </is>
      </c>
      <c r="Z24" s="63" t="inlineStr">
        <is>
          <t>Sí</t>
        </is>
      </c>
      <c r="AA24" s="63" t="inlineStr">
        <is>
          <t>No</t>
        </is>
      </c>
      <c r="AB24" s="63" t="inlineStr">
        <is>
          <t>No</t>
        </is>
      </c>
      <c r="AC24" s="63" t="str"/>
      <c r="AD24" s="64" t="str"/>
    </row>
    <row r="25">
      <c r="A25" s="62" t="inlineStr">
        <is>
          <t>Marzo 2026</t>
        </is>
      </c>
      <c r="B25" s="63" t="n"/>
      <c r="C25" s="63" t="inlineStr">
        <is>
          <t>Instagram</t>
        </is>
      </c>
      <c r="D25" s="63" t="inlineStr">
        <is>
          <t>UGC</t>
        </is>
      </c>
      <c r="E25" s="63" t="inlineStr">
        <is>
          <t>STORY</t>
        </is>
      </c>
      <c r="F25" s="63" t="inlineStr">
        <is>
          <t>maicao</t>
        </is>
      </c>
      <c r="G25" s="63" t="inlineStr">
        <is>
          <t>repost ugc labiales bridgerton 2</t>
        </is>
      </c>
      <c r="H25" s="63" t="str"/>
      <c r="I25" s="63" t="str"/>
      <c r="J25" s="63" t="str"/>
      <c r="K25" s="63" t="n">
        <v>2102</v>
      </c>
      <c r="L25" s="63" t="n">
        <v>1905</v>
      </c>
      <c r="M25" s="63" t="n">
        <v>13</v>
      </c>
      <c r="N25" s="63" t="n">
        <v>1</v>
      </c>
      <c r="O25" s="63" t="n">
        <v>1</v>
      </c>
      <c r="P25" s="63" t="n">
        <v>0</v>
      </c>
      <c r="Q25" s="63" t="n">
        <v>0</v>
      </c>
      <c r="R25" s="63" t="n">
        <v>0</v>
      </c>
      <c r="S25" s="63" t="n">
        <v>0</v>
      </c>
      <c r="T25" s="63" t="n">
        <v>15</v>
      </c>
      <c r="U25" s="63" t="n">
        <v>0.7874015747999999</v>
      </c>
      <c r="V25" s="63" t="str"/>
      <c r="W25" s="63" t="n">
        <v>0</v>
      </c>
      <c r="X25" s="63" t="str"/>
      <c r="Y25" s="63" t="inlineStr">
        <is>
          <t>Sí</t>
        </is>
      </c>
      <c r="Z25" s="63" t="inlineStr">
        <is>
          <t>Sí</t>
        </is>
      </c>
      <c r="AA25" s="63" t="inlineStr">
        <is>
          <t>No</t>
        </is>
      </c>
      <c r="AB25" s="63" t="inlineStr">
        <is>
          <t>No</t>
        </is>
      </c>
      <c r="AC25" s="63" t="str"/>
      <c r="AD25" s="64" t="str"/>
    </row>
    <row r="26">
      <c r="A26" s="62" t="inlineStr">
        <is>
          <t>Marzo 2026</t>
        </is>
      </c>
      <c r="B26" s="63" t="n"/>
      <c r="C26" s="63" t="inlineStr">
        <is>
          <t>Instagram</t>
        </is>
      </c>
      <c r="D26" s="63" t="inlineStr">
        <is>
          <t>UGC</t>
        </is>
      </c>
      <c r="E26" s="63" t="inlineStr">
        <is>
          <t>STORY</t>
        </is>
      </c>
      <c r="F26" s="63" t="inlineStr">
        <is>
          <t>maicao</t>
        </is>
      </c>
      <c r="G26" s="63" t="inlineStr">
        <is>
          <t>repost ugc 8m</t>
        </is>
      </c>
      <c r="H26" s="63" t="str"/>
      <c r="I26" s="63" t="str"/>
      <c r="J26" s="63" t="str"/>
      <c r="K26" s="63" t="n">
        <v>55098</v>
      </c>
      <c r="L26" s="63" t="n">
        <v>47136</v>
      </c>
      <c r="M26" s="63" t="n">
        <v>389</v>
      </c>
      <c r="N26" s="63" t="n">
        <v>6</v>
      </c>
      <c r="O26" s="63" t="n">
        <v>6</v>
      </c>
      <c r="P26" s="63" t="n">
        <v>0</v>
      </c>
      <c r="Q26" s="63" t="n">
        <v>0</v>
      </c>
      <c r="R26" s="63" t="n">
        <v>0</v>
      </c>
      <c r="S26" s="63" t="n">
        <v>0</v>
      </c>
      <c r="T26" s="63" t="n">
        <v>401</v>
      </c>
      <c r="U26" s="63" t="n">
        <v>0.8507298031</v>
      </c>
      <c r="V26" s="63" t="str"/>
      <c r="W26" s="63" t="n">
        <v>0</v>
      </c>
      <c r="X26" s="63" t="str"/>
      <c r="Y26" s="63" t="inlineStr">
        <is>
          <t>Sí</t>
        </is>
      </c>
      <c r="Z26" s="63" t="inlineStr">
        <is>
          <t>Sí</t>
        </is>
      </c>
      <c r="AA26" s="63" t="inlineStr">
        <is>
          <t>No</t>
        </is>
      </c>
      <c r="AB26" s="63" t="inlineStr">
        <is>
          <t>No</t>
        </is>
      </c>
      <c r="AC26" s="63" t="str"/>
      <c r="AD26" s="64" t="str"/>
    </row>
    <row r="27">
      <c r="A27" s="62" t="inlineStr">
        <is>
          <t>Marzo 2026</t>
        </is>
      </c>
      <c r="B27" s="63" t="n"/>
      <c r="C27" s="63" t="inlineStr">
        <is>
          <t>Instagram</t>
        </is>
      </c>
      <c r="D27" s="63" t="inlineStr">
        <is>
          <t>CAMPAÑA</t>
        </is>
      </c>
      <c r="E27" s="63" t="inlineStr">
        <is>
          <t>STORY</t>
        </is>
      </c>
      <c r="F27" s="63" t="inlineStr">
        <is>
          <t>maicao</t>
        </is>
      </c>
      <c r="G27" s="63" t="inlineStr">
        <is>
          <t>dcto banco estado</t>
        </is>
      </c>
      <c r="H27" s="63" t="str"/>
      <c r="I27" s="63" t="str"/>
      <c r="J27" s="63" t="str"/>
      <c r="K27" s="63" t="n">
        <v>2818</v>
      </c>
      <c r="L27" s="63" t="n">
        <v>2408</v>
      </c>
      <c r="M27" s="63" t="n">
        <v>18</v>
      </c>
      <c r="N27" s="63" t="n">
        <v>0</v>
      </c>
      <c r="O27" s="63" t="n">
        <v>0</v>
      </c>
      <c r="P27" s="63" t="n">
        <v>0</v>
      </c>
      <c r="Q27" s="63" t="n">
        <v>0</v>
      </c>
      <c r="R27" s="63" t="n">
        <v>0</v>
      </c>
      <c r="S27" s="63" t="n">
        <v>26</v>
      </c>
      <c r="T27" s="63" t="n">
        <v>44</v>
      </c>
      <c r="U27" s="63" t="n">
        <v>1.827242525</v>
      </c>
      <c r="V27" s="63" t="str"/>
      <c r="W27" s="63" t="n">
        <v>0</v>
      </c>
      <c r="X27" s="63" t="str"/>
      <c r="Y27" s="63" t="inlineStr">
        <is>
          <t>Sí</t>
        </is>
      </c>
      <c r="Z27" s="63" t="inlineStr">
        <is>
          <t>Sí</t>
        </is>
      </c>
      <c r="AA27" s="63" t="inlineStr">
        <is>
          <t>No</t>
        </is>
      </c>
      <c r="AB27" s="63" t="inlineStr">
        <is>
          <t>No</t>
        </is>
      </c>
      <c r="AC27" s="63" t="str"/>
      <c r="AD27" s="64" t="str"/>
    </row>
    <row r="28">
      <c r="A28" s="62" t="inlineStr">
        <is>
          <t>Marzo 2026</t>
        </is>
      </c>
      <c r="B28" s="63" t="n"/>
      <c r="C28" s="63" t="inlineStr">
        <is>
          <t>Instagram</t>
        </is>
      </c>
      <c r="D28" s="63" t="inlineStr">
        <is>
          <t>EXTRA</t>
        </is>
      </c>
      <c r="E28" s="63" t="inlineStr">
        <is>
          <t>STORY</t>
        </is>
      </c>
      <c r="F28" s="63" t="inlineStr">
        <is>
          <t>maicao</t>
        </is>
      </c>
      <c r="G28" s="63" t="inlineStr">
        <is>
          <t>lanzamiento color crush</t>
        </is>
      </c>
      <c r="H28" s="63" t="str"/>
      <c r="I28" s="63" t="str"/>
      <c r="J28" s="63" t="str"/>
      <c r="K28" s="63" t="n">
        <v>3017</v>
      </c>
      <c r="L28" s="63" t="n">
        <v>2570</v>
      </c>
      <c r="M28" s="63" t="n">
        <v>19</v>
      </c>
      <c r="N28" s="63" t="n">
        <v>3</v>
      </c>
      <c r="O28" s="63" t="n">
        <v>1</v>
      </c>
      <c r="P28" s="63" t="n">
        <v>0</v>
      </c>
      <c r="Q28" s="63" t="n">
        <v>0</v>
      </c>
      <c r="R28" s="63" t="n">
        <v>0</v>
      </c>
      <c r="S28" s="63" t="n">
        <v>0</v>
      </c>
      <c r="T28" s="63" t="n">
        <v>23</v>
      </c>
      <c r="U28" s="63" t="n">
        <v>0.8949416341999999</v>
      </c>
      <c r="V28" s="63" t="str"/>
      <c r="W28" s="63" t="n">
        <v>0</v>
      </c>
      <c r="X28" s="63" t="str"/>
      <c r="Y28" s="63" t="inlineStr">
        <is>
          <t>Sí</t>
        </is>
      </c>
      <c r="Z28" s="63" t="inlineStr">
        <is>
          <t>Sí</t>
        </is>
      </c>
      <c r="AA28" s="63" t="inlineStr">
        <is>
          <t>No</t>
        </is>
      </c>
      <c r="AB28" s="63" t="inlineStr">
        <is>
          <t>No</t>
        </is>
      </c>
      <c r="AC28" s="63" t="str"/>
      <c r="AD28" s="64" t="str"/>
    </row>
    <row r="29">
      <c r="A29" s="62" t="inlineStr">
        <is>
          <t>Marzo 2026</t>
        </is>
      </c>
      <c r="B29" s="63" t="n"/>
      <c r="C29" s="63" t="inlineStr">
        <is>
          <t>Instagram</t>
        </is>
      </c>
      <c r="D29" s="63" t="inlineStr">
        <is>
          <t>CAMPAÑA</t>
        </is>
      </c>
      <c r="E29" s="63" t="inlineStr">
        <is>
          <t>STORY</t>
        </is>
      </c>
      <c r="F29" s="63" t="inlineStr">
        <is>
          <t>maicao</t>
        </is>
      </c>
      <c r="G29" s="63" t="inlineStr">
        <is>
          <t>venta nocturna</t>
        </is>
      </c>
      <c r="H29" s="63" t="str"/>
      <c r="I29" s="63" t="str"/>
      <c r="J29" s="63" t="str"/>
      <c r="K29" s="63" t="n">
        <v>2517</v>
      </c>
      <c r="L29" s="63" t="n">
        <v>2264</v>
      </c>
      <c r="M29" s="63" t="n">
        <v>15</v>
      </c>
      <c r="N29" s="63" t="n">
        <v>0</v>
      </c>
      <c r="O29" s="63" t="n">
        <v>2</v>
      </c>
      <c r="P29" s="63" t="n">
        <v>0</v>
      </c>
      <c r="Q29" s="63" t="n">
        <v>0</v>
      </c>
      <c r="R29" s="63" t="n">
        <v>0</v>
      </c>
      <c r="S29" s="63" t="n">
        <v>96</v>
      </c>
      <c r="T29" s="63" t="n">
        <v>113</v>
      </c>
      <c r="U29" s="63" t="n">
        <v>4.991166078</v>
      </c>
      <c r="V29" s="63" t="str"/>
      <c r="W29" s="63" t="n">
        <v>0</v>
      </c>
      <c r="X29" s="63" t="str"/>
      <c r="Y29" s="63" t="inlineStr">
        <is>
          <t>Sí</t>
        </is>
      </c>
      <c r="Z29" s="63" t="inlineStr">
        <is>
          <t>Sí</t>
        </is>
      </c>
      <c r="AA29" s="63" t="inlineStr">
        <is>
          <t>No</t>
        </is>
      </c>
      <c r="AB29" s="63" t="inlineStr">
        <is>
          <t>No</t>
        </is>
      </c>
      <c r="AC29" s="63" t="str"/>
      <c r="AD29" s="64" t="str"/>
    </row>
    <row r="30">
      <c r="A30" s="62" t="inlineStr">
        <is>
          <t>Marzo 2026</t>
        </is>
      </c>
      <c r="B30" s="63" t="n"/>
      <c r="C30" s="63" t="inlineStr">
        <is>
          <t>Instagram</t>
        </is>
      </c>
      <c r="D30" s="63" t="inlineStr">
        <is>
          <t>EXTRA</t>
        </is>
      </c>
      <c r="E30" s="63" t="inlineStr">
        <is>
          <t>STORY</t>
        </is>
      </c>
      <c r="F30" s="63" t="inlineStr">
        <is>
          <t>maicao</t>
        </is>
      </c>
      <c r="G30" s="63" t="inlineStr">
        <is>
          <t>ofertas protectores solares</t>
        </is>
      </c>
      <c r="H30" s="63" t="str"/>
      <c r="I30" s="63" t="str"/>
      <c r="J30" s="63" t="str"/>
      <c r="K30" s="63" t="n">
        <v>3227</v>
      </c>
      <c r="L30" s="63" t="n">
        <v>2869</v>
      </c>
      <c r="M30" s="63" t="n">
        <v>18</v>
      </c>
      <c r="N30" s="63" t="n">
        <v>3</v>
      </c>
      <c r="O30" s="63" t="n">
        <v>2</v>
      </c>
      <c r="P30" s="63" t="n">
        <v>0</v>
      </c>
      <c r="Q30" s="63" t="n">
        <v>0</v>
      </c>
      <c r="R30" s="63" t="n">
        <v>8</v>
      </c>
      <c r="S30" s="63" t="n">
        <v>4</v>
      </c>
      <c r="T30" s="63" t="n">
        <v>35</v>
      </c>
      <c r="U30" s="63" t="n">
        <v>1.21993726</v>
      </c>
      <c r="V30" s="63" t="str"/>
      <c r="W30" s="63" t="n">
        <v>0</v>
      </c>
      <c r="X30" s="63" t="str"/>
      <c r="Y30" s="63" t="inlineStr">
        <is>
          <t>Sí</t>
        </is>
      </c>
      <c r="Z30" s="63" t="inlineStr">
        <is>
          <t>Sí</t>
        </is>
      </c>
      <c r="AA30" s="63" t="inlineStr">
        <is>
          <t>No</t>
        </is>
      </c>
      <c r="AB30" s="63" t="inlineStr">
        <is>
          <t>No</t>
        </is>
      </c>
      <c r="AC30" s="63" t="str"/>
      <c r="AD30" s="64" t="str"/>
    </row>
    <row r="31">
      <c r="A31" s="62" t="inlineStr">
        <is>
          <t>Marzo 2026</t>
        </is>
      </c>
      <c r="B31" s="63" t="n"/>
      <c r="C31" s="63" t="inlineStr">
        <is>
          <t>Instagram</t>
        </is>
      </c>
      <c r="D31" s="63" t="inlineStr">
        <is>
          <t>CAMPAÑA</t>
        </is>
      </c>
      <c r="E31" s="63" t="inlineStr">
        <is>
          <t>STORY</t>
        </is>
      </c>
      <c r="F31" s="63" t="inlineStr">
        <is>
          <t>maicao</t>
        </is>
      </c>
      <c r="G31" s="63" t="inlineStr">
        <is>
          <t>dctos días de belleza</t>
        </is>
      </c>
      <c r="H31" s="63" t="str"/>
      <c r="I31" s="63" t="str"/>
      <c r="J31" s="63" t="str"/>
      <c r="K31" s="63" t="n">
        <v>2995</v>
      </c>
      <c r="L31" s="63" t="n">
        <v>2467</v>
      </c>
      <c r="M31" s="63" t="n">
        <v>14</v>
      </c>
      <c r="N31" s="63" t="n">
        <v>0</v>
      </c>
      <c r="O31" s="63" t="n">
        <v>1</v>
      </c>
      <c r="P31" s="63" t="n">
        <v>0</v>
      </c>
      <c r="Q31" s="63" t="n">
        <v>0</v>
      </c>
      <c r="R31" s="63" t="n">
        <v>0</v>
      </c>
      <c r="S31" s="63" t="n">
        <v>65</v>
      </c>
      <c r="T31" s="63" t="n">
        <v>80</v>
      </c>
      <c r="U31" s="63" t="n">
        <v>3.242805026</v>
      </c>
      <c r="V31" s="63" t="str"/>
      <c r="W31" s="63" t="n">
        <v>0</v>
      </c>
      <c r="X31" s="63" t="str"/>
      <c r="Y31" s="63" t="inlineStr">
        <is>
          <t>Sí</t>
        </is>
      </c>
      <c r="Z31" s="63" t="inlineStr">
        <is>
          <t>Sí</t>
        </is>
      </c>
      <c r="AA31" s="63" t="inlineStr">
        <is>
          <t>No</t>
        </is>
      </c>
      <c r="AB31" s="63" t="inlineStr">
        <is>
          <t>No</t>
        </is>
      </c>
      <c r="AC31" s="63" t="str"/>
      <c r="AD31" s="64" t="str"/>
    </row>
    <row r="32">
      <c r="A32" s="62" t="inlineStr">
        <is>
          <t>Marzo 2026</t>
        </is>
      </c>
      <c r="B32" s="63" t="n"/>
      <c r="C32" s="63" t="inlineStr">
        <is>
          <t>Instagram</t>
        </is>
      </c>
      <c r="D32" s="63" t="inlineStr">
        <is>
          <t>UGC</t>
        </is>
      </c>
      <c r="E32" s="63" t="inlineStr">
        <is>
          <t>STORY</t>
        </is>
      </c>
      <c r="F32" s="63" t="inlineStr">
        <is>
          <t>maicao</t>
        </is>
      </c>
      <c r="G32" s="63" t="inlineStr">
        <is>
          <t>repost  ugc skala</t>
        </is>
      </c>
      <c r="H32" s="63" t="str"/>
      <c r="I32" s="63" t="str"/>
      <c r="J32" s="63" t="str"/>
      <c r="K32" s="63" t="n">
        <v>2880</v>
      </c>
      <c r="L32" s="63" t="n">
        <v>2545</v>
      </c>
      <c r="M32" s="63" t="n">
        <v>21</v>
      </c>
      <c r="N32" s="63" t="n">
        <v>2</v>
      </c>
      <c r="O32" s="63" t="n">
        <v>0</v>
      </c>
      <c r="P32" s="63" t="n">
        <v>0</v>
      </c>
      <c r="Q32" s="63" t="n">
        <v>0</v>
      </c>
      <c r="R32" s="63" t="n">
        <v>0</v>
      </c>
      <c r="S32" s="63" t="n">
        <v>23</v>
      </c>
      <c r="T32" s="63" t="n">
        <v>46</v>
      </c>
      <c r="U32" s="63" t="n">
        <v>1.807465619</v>
      </c>
      <c r="V32" s="63" t="str"/>
      <c r="W32" s="63" t="n">
        <v>0</v>
      </c>
      <c r="X32" s="63" t="str"/>
      <c r="Y32" s="63" t="inlineStr">
        <is>
          <t>Sí</t>
        </is>
      </c>
      <c r="Z32" s="63" t="inlineStr">
        <is>
          <t>Sí</t>
        </is>
      </c>
      <c r="AA32" s="63" t="inlineStr">
        <is>
          <t>No</t>
        </is>
      </c>
      <c r="AB32" s="63" t="inlineStr">
        <is>
          <t>No</t>
        </is>
      </c>
      <c r="AC32" s="63" t="str"/>
      <c r="AD32" s="64" t="str"/>
    </row>
    <row r="33">
      <c r="A33" s="62" t="inlineStr">
        <is>
          <t>Marzo 2026</t>
        </is>
      </c>
      <c r="B33" s="63" t="n"/>
      <c r="C33" s="63" t="inlineStr">
        <is>
          <t>Instagram</t>
        </is>
      </c>
      <c r="D33" s="63" t="inlineStr">
        <is>
          <t>CAMPAÑA</t>
        </is>
      </c>
      <c r="E33" s="63" t="inlineStr">
        <is>
          <t>STORY</t>
        </is>
      </c>
      <c r="F33" s="63" t="inlineStr">
        <is>
          <t>maicao</t>
        </is>
      </c>
      <c r="G33" s="63" t="inlineStr">
        <is>
          <t>repost palipaloma</t>
        </is>
      </c>
      <c r="H33" s="63" t="str"/>
      <c r="I33" s="63" t="str"/>
      <c r="J33" s="63" t="str"/>
      <c r="K33" s="63" t="n">
        <v>2344</v>
      </c>
      <c r="L33" s="63" t="n">
        <v>2064</v>
      </c>
      <c r="M33" s="63" t="n">
        <v>19</v>
      </c>
      <c r="N33" s="63" t="n">
        <v>1</v>
      </c>
      <c r="O33" s="63" t="n">
        <v>2</v>
      </c>
      <c r="P33" s="63" t="n">
        <v>0</v>
      </c>
      <c r="Q33" s="63" t="n">
        <v>0</v>
      </c>
      <c r="R33" s="63" t="n">
        <v>0</v>
      </c>
      <c r="S33" s="63" t="n">
        <v>8</v>
      </c>
      <c r="T33" s="63" t="n">
        <v>30</v>
      </c>
      <c r="U33" s="63" t="n">
        <v>1.453488372</v>
      </c>
      <c r="V33" s="63" t="str"/>
      <c r="W33" s="63" t="n">
        <v>0</v>
      </c>
      <c r="X33" s="63" t="str"/>
      <c r="Y33" s="63" t="inlineStr">
        <is>
          <t>Sí</t>
        </is>
      </c>
      <c r="Z33" s="63" t="inlineStr">
        <is>
          <t>Sí</t>
        </is>
      </c>
      <c r="AA33" s="63" t="inlineStr">
        <is>
          <t>No</t>
        </is>
      </c>
      <c r="AB33" s="63" t="inlineStr">
        <is>
          <t>No</t>
        </is>
      </c>
      <c r="AC33" s="63" t="str"/>
      <c r="AD33" s="64" t="str"/>
    </row>
    <row r="34">
      <c r="A34" s="62" t="inlineStr">
        <is>
          <t>Marzo 2026</t>
        </is>
      </c>
      <c r="B34" s="63" t="n"/>
      <c r="C34" s="63" t="inlineStr">
        <is>
          <t>Instagram</t>
        </is>
      </c>
      <c r="D34" s="63" t="inlineStr">
        <is>
          <t>EXTRA</t>
        </is>
      </c>
      <c r="E34" s="63" t="inlineStr">
        <is>
          <t>STORY</t>
        </is>
      </c>
      <c r="F34" s="63" t="inlineStr">
        <is>
          <t>maicao</t>
        </is>
      </c>
      <c r="G34" s="63" t="inlineStr">
        <is>
          <t>repost emiguiselle</t>
        </is>
      </c>
      <c r="H34" s="63" t="str"/>
      <c r="I34" s="63" t="str"/>
      <c r="J34" s="63" t="str"/>
      <c r="K34" s="63" t="n">
        <v>2229</v>
      </c>
      <c r="L34" s="63" t="n">
        <v>1915</v>
      </c>
      <c r="M34" s="63" t="n">
        <v>34</v>
      </c>
      <c r="N34" s="63" t="n">
        <v>1</v>
      </c>
      <c r="O34" s="63" t="n">
        <v>1</v>
      </c>
      <c r="P34" s="63" t="n">
        <v>0</v>
      </c>
      <c r="Q34" s="63" t="n">
        <v>0</v>
      </c>
      <c r="R34" s="63" t="n">
        <v>4</v>
      </c>
      <c r="S34" s="63" t="n">
        <v>0</v>
      </c>
      <c r="T34" s="63" t="n">
        <v>40</v>
      </c>
      <c r="U34" s="63" t="n">
        <v>2.088772846</v>
      </c>
      <c r="V34" s="63" t="str"/>
      <c r="W34" s="63" t="n">
        <v>0</v>
      </c>
      <c r="X34" s="63" t="str"/>
      <c r="Y34" s="63" t="inlineStr">
        <is>
          <t>Sí</t>
        </is>
      </c>
      <c r="Z34" s="63" t="inlineStr">
        <is>
          <t>Sí</t>
        </is>
      </c>
      <c r="AA34" s="63" t="inlineStr">
        <is>
          <t>No</t>
        </is>
      </c>
      <c r="AB34" s="63" t="inlineStr">
        <is>
          <t>No</t>
        </is>
      </c>
      <c r="AC34" s="63" t="str"/>
      <c r="AD34" s="64" t="str"/>
    </row>
    <row r="35">
      <c r="A35" s="62" t="inlineStr">
        <is>
          <t>Marzo 2026</t>
        </is>
      </c>
      <c r="B35" s="63" t="n"/>
      <c r="C35" s="63" t="inlineStr">
        <is>
          <t>Instagram</t>
        </is>
      </c>
      <c r="D35" s="63" t="inlineStr">
        <is>
          <t>EXTRA</t>
        </is>
      </c>
      <c r="E35" s="63" t="inlineStr">
        <is>
          <t>STORY</t>
        </is>
      </c>
      <c r="F35" s="63" t="inlineStr">
        <is>
          <t>maicao</t>
        </is>
      </c>
      <c r="G35" s="63" t="inlineStr">
        <is>
          <t xml:space="preserve">repost skar samy </t>
        </is>
      </c>
      <c r="H35" s="63" t="str"/>
      <c r="I35" s="63" t="str"/>
      <c r="J35" s="63" t="str"/>
      <c r="K35" s="63" t="n">
        <v>2902</v>
      </c>
      <c r="L35" s="63" t="n">
        <v>2497</v>
      </c>
      <c r="M35" s="63" t="n">
        <v>32</v>
      </c>
      <c r="N35" s="63" t="n">
        <v>2</v>
      </c>
      <c r="O35" s="63" t="n">
        <v>1</v>
      </c>
      <c r="P35" s="63" t="n">
        <v>0</v>
      </c>
      <c r="Q35" s="63" t="n">
        <v>0</v>
      </c>
      <c r="R35" s="63" t="n">
        <v>0</v>
      </c>
      <c r="S35" s="63" t="n">
        <v>12</v>
      </c>
      <c r="T35" s="63" t="n">
        <v>47</v>
      </c>
      <c r="U35" s="63" t="n">
        <v>1.88225871</v>
      </c>
      <c r="V35" s="63" t="str"/>
      <c r="W35" s="63" t="n">
        <v>0</v>
      </c>
      <c r="X35" s="63" t="str"/>
      <c r="Y35" s="63" t="inlineStr">
        <is>
          <t>Sí</t>
        </is>
      </c>
      <c r="Z35" s="63" t="inlineStr">
        <is>
          <t>Sí</t>
        </is>
      </c>
      <c r="AA35" s="63" t="inlineStr">
        <is>
          <t>No</t>
        </is>
      </c>
      <c r="AB35" s="63" t="inlineStr">
        <is>
          <t>Sí</t>
        </is>
      </c>
      <c r="AC35" s="63" t="str"/>
      <c r="AD35" s="64" t="str"/>
    </row>
    <row r="36">
      <c r="A36" s="62" t="inlineStr">
        <is>
          <t>Marzo 2026</t>
        </is>
      </c>
      <c r="B36" s="63" t="n"/>
      <c r="C36" s="63" t="inlineStr">
        <is>
          <t>Instagram</t>
        </is>
      </c>
      <c r="D36" s="63" t="inlineStr">
        <is>
          <t>EXTRA</t>
        </is>
      </c>
      <c r="E36" s="63" t="inlineStr">
        <is>
          <t>STORY</t>
        </is>
      </c>
      <c r="F36" s="63" t="inlineStr">
        <is>
          <t>maicao</t>
        </is>
      </c>
      <c r="G36" s="63" t="inlineStr">
        <is>
          <t>repost cami andrade nivea bridgerton</t>
        </is>
      </c>
      <c r="H36" s="63" t="str"/>
      <c r="I36" s="63" t="str"/>
      <c r="J36" s="63" t="str"/>
      <c r="K36" s="63" t="n">
        <v>3123</v>
      </c>
      <c r="L36" s="63" t="n">
        <v>2693</v>
      </c>
      <c r="M36" s="63" t="n">
        <v>35</v>
      </c>
      <c r="N36" s="63" t="n">
        <v>1</v>
      </c>
      <c r="O36" s="63" t="n">
        <v>1</v>
      </c>
      <c r="P36" s="63" t="n">
        <v>0</v>
      </c>
      <c r="Q36" s="63" t="n">
        <v>0</v>
      </c>
      <c r="R36" s="63" t="n">
        <v>6</v>
      </c>
      <c r="S36" s="63" t="n">
        <v>0</v>
      </c>
      <c r="T36" s="63" t="n">
        <v>43</v>
      </c>
      <c r="U36" s="63" t="n">
        <v>1.596732269</v>
      </c>
      <c r="V36" s="63" t="str"/>
      <c r="W36" s="63" t="n">
        <v>0</v>
      </c>
      <c r="X36" s="63" t="str"/>
      <c r="Y36" s="63" t="inlineStr">
        <is>
          <t>Sí</t>
        </is>
      </c>
      <c r="Z36" s="63" t="inlineStr">
        <is>
          <t>Sí</t>
        </is>
      </c>
      <c r="AA36" s="63" t="inlineStr">
        <is>
          <t>No</t>
        </is>
      </c>
      <c r="AB36" s="63" t="inlineStr">
        <is>
          <t>No</t>
        </is>
      </c>
      <c r="AC36" s="63" t="str"/>
      <c r="AD36" s="64" t="str"/>
    </row>
    <row r="37">
      <c r="A37" s="62" t="inlineStr">
        <is>
          <t>Marzo 2026</t>
        </is>
      </c>
      <c r="B37" s="63" t="n"/>
      <c r="C37" s="63" t="inlineStr">
        <is>
          <t>Instagram</t>
        </is>
      </c>
      <c r="D37" s="63" t="inlineStr">
        <is>
          <t>CAMPAÑA</t>
        </is>
      </c>
      <c r="E37" s="63" t="inlineStr">
        <is>
          <t>STORY</t>
        </is>
      </c>
      <c r="F37" s="63" t="inlineStr">
        <is>
          <t>maicao</t>
        </is>
      </c>
      <c r="G37" s="63" t="inlineStr">
        <is>
          <t>repost dctos</t>
        </is>
      </c>
      <c r="H37" s="63" t="str"/>
      <c r="I37" s="63" t="str"/>
      <c r="J37" s="63" t="str"/>
      <c r="K37" s="63" t="n">
        <v>3081</v>
      </c>
      <c r="L37" s="63" t="n">
        <v>2519</v>
      </c>
      <c r="M37" s="63" t="n">
        <v>21</v>
      </c>
      <c r="N37" s="63" t="n">
        <v>1</v>
      </c>
      <c r="O37" s="63" t="n">
        <v>0</v>
      </c>
      <c r="P37" s="63" t="n">
        <v>0</v>
      </c>
      <c r="Q37" s="63" t="n">
        <v>0</v>
      </c>
      <c r="R37" s="63" t="n">
        <v>0</v>
      </c>
      <c r="S37" s="63" t="n">
        <v>68</v>
      </c>
      <c r="T37" s="63" t="n">
        <v>90</v>
      </c>
      <c r="U37" s="63" t="n">
        <v>3.572846368</v>
      </c>
      <c r="V37" s="63" t="str"/>
      <c r="W37" s="63" t="n">
        <v>0</v>
      </c>
      <c r="X37" s="63" t="str"/>
      <c r="Y37" s="63" t="inlineStr">
        <is>
          <t>Sí</t>
        </is>
      </c>
      <c r="Z37" s="63" t="inlineStr">
        <is>
          <t>Sí</t>
        </is>
      </c>
      <c r="AA37" s="63" t="inlineStr">
        <is>
          <t>No</t>
        </is>
      </c>
      <c r="AB37" s="63" t="inlineStr">
        <is>
          <t>No</t>
        </is>
      </c>
      <c r="AC37" s="63" t="str"/>
      <c r="AD37" s="64" t="str"/>
    </row>
    <row r="38">
      <c r="A38" s="62" t="inlineStr">
        <is>
          <t>Marzo 2026</t>
        </is>
      </c>
      <c r="B38" s="63" t="n"/>
      <c r="C38" s="63" t="inlineStr">
        <is>
          <t>Instagram</t>
        </is>
      </c>
      <c r="D38" s="63" t="inlineStr">
        <is>
          <t>CAMPAÑA</t>
        </is>
      </c>
      <c r="E38" s="63" t="inlineStr">
        <is>
          <t>STORY</t>
        </is>
      </c>
      <c r="F38" s="63" t="inlineStr">
        <is>
          <t>maicao</t>
        </is>
      </c>
      <c r="G38" s="63" t="inlineStr">
        <is>
          <t>venta nocturna</t>
        </is>
      </c>
      <c r="H38" s="63" t="str"/>
      <c r="I38" s="63" t="str"/>
      <c r="J38" s="63" t="str"/>
      <c r="K38" s="63" t="n">
        <v>3367</v>
      </c>
      <c r="L38" s="63" t="n">
        <v>2538</v>
      </c>
      <c r="M38" s="63" t="n">
        <v>23</v>
      </c>
      <c r="N38" s="63" t="n">
        <v>1</v>
      </c>
      <c r="O38" s="63" t="n">
        <v>2</v>
      </c>
      <c r="P38" s="63" t="n">
        <v>0</v>
      </c>
      <c r="Q38" s="63" t="n">
        <v>0</v>
      </c>
      <c r="R38" s="63" t="n">
        <v>0</v>
      </c>
      <c r="S38" s="63" t="n">
        <v>114</v>
      </c>
      <c r="T38" s="63" t="n">
        <v>140</v>
      </c>
      <c r="U38" s="63" t="n">
        <v>5.516154452</v>
      </c>
      <c r="V38" s="63" t="str"/>
      <c r="W38" s="63" t="n">
        <v>0</v>
      </c>
      <c r="X38" s="63" t="str"/>
      <c r="Y38" s="63" t="inlineStr">
        <is>
          <t>Sí</t>
        </is>
      </c>
      <c r="Z38" s="63" t="inlineStr">
        <is>
          <t>Sí</t>
        </is>
      </c>
      <c r="AA38" s="63" t="inlineStr">
        <is>
          <t>No</t>
        </is>
      </c>
      <c r="AB38" s="63" t="inlineStr">
        <is>
          <t>No</t>
        </is>
      </c>
      <c r="AC38" s="63" t="str"/>
      <c r="AD38" s="64" t="str"/>
    </row>
    <row r="39">
      <c r="A39" s="62" t="inlineStr">
        <is>
          <t>Marzo 2026</t>
        </is>
      </c>
      <c r="B39" s="63" t="n"/>
      <c r="C39" s="63" t="inlineStr">
        <is>
          <t>Instagram</t>
        </is>
      </c>
      <c r="D39" s="63" t="inlineStr">
        <is>
          <t>CONCURSO</t>
        </is>
      </c>
      <c r="E39" s="63" t="inlineStr">
        <is>
          <t>STORY</t>
        </is>
      </c>
      <c r="F39" s="63" t="inlineStr">
        <is>
          <t>maicao</t>
        </is>
      </c>
      <c r="G39" s="63" t="inlineStr">
        <is>
          <t>ganador concurso sabrina</t>
        </is>
      </c>
      <c r="H39" s="63" t="str"/>
      <c r="I39" s="63" t="str"/>
      <c r="J39" s="63" t="str"/>
      <c r="K39" s="63" t="n">
        <v>4327</v>
      </c>
      <c r="L39" s="63" t="n">
        <v>3117</v>
      </c>
      <c r="M39" s="63" t="n">
        <v>29</v>
      </c>
      <c r="N39" s="63" t="n">
        <v>10</v>
      </c>
      <c r="O39" s="63" t="n">
        <v>19</v>
      </c>
      <c r="P39" s="63" t="n">
        <v>0</v>
      </c>
      <c r="Q39" s="63" t="n">
        <v>0</v>
      </c>
      <c r="R39" s="63" t="n">
        <v>0</v>
      </c>
      <c r="S39" s="63" t="n">
        <v>283</v>
      </c>
      <c r="T39" s="63" t="n">
        <v>341</v>
      </c>
      <c r="U39" s="63" t="n">
        <v>10.94000642</v>
      </c>
      <c r="V39" s="63" t="str"/>
      <c r="W39" s="63" t="n">
        <v>0</v>
      </c>
      <c r="X39" s="63" t="str"/>
      <c r="Y39" s="63" t="inlineStr">
        <is>
          <t>Sí</t>
        </is>
      </c>
      <c r="Z39" s="63" t="inlineStr">
        <is>
          <t>Sí</t>
        </is>
      </c>
      <c r="AA39" s="63" t="inlineStr">
        <is>
          <t>No</t>
        </is>
      </c>
      <c r="AB39" s="63" t="inlineStr">
        <is>
          <t>No</t>
        </is>
      </c>
      <c r="AC39" s="63" t="str"/>
      <c r="AD39" s="64" t="str"/>
    </row>
    <row r="40">
      <c r="A40" s="62" t="inlineStr">
        <is>
          <t>Marzo 2026</t>
        </is>
      </c>
      <c r="B40" s="63" t="n"/>
      <c r="C40" s="63" t="inlineStr">
        <is>
          <t>Instagram</t>
        </is>
      </c>
      <c r="D40" s="63" t="inlineStr">
        <is>
          <t>EXTRA</t>
        </is>
      </c>
      <c r="E40" s="63" t="inlineStr">
        <is>
          <t>STORY</t>
        </is>
      </c>
      <c r="F40" s="63" t="inlineStr">
        <is>
          <t>maicao</t>
        </is>
      </c>
      <c r="G40" s="63" t="inlineStr">
        <is>
          <t>repost cami andrade pantene molecular</t>
        </is>
      </c>
      <c r="H40" s="63" t="str"/>
      <c r="I40" s="63" t="str"/>
      <c r="J40" s="63" t="str"/>
      <c r="K40" s="63" t="n">
        <v>3666</v>
      </c>
      <c r="L40" s="63" t="n">
        <v>3041</v>
      </c>
      <c r="M40" s="63" t="n">
        <v>15</v>
      </c>
      <c r="N40" s="63" t="n">
        <v>0</v>
      </c>
      <c r="O40" s="63" t="n">
        <v>8</v>
      </c>
      <c r="P40" s="63" t="n">
        <v>0</v>
      </c>
      <c r="Q40" s="63" t="n">
        <v>0</v>
      </c>
      <c r="R40" s="63" t="n">
        <v>0</v>
      </c>
      <c r="S40" s="63" t="n">
        <v>7</v>
      </c>
      <c r="T40" s="63" t="n">
        <v>30</v>
      </c>
      <c r="U40" s="63" t="n">
        <v>0.9865175929</v>
      </c>
      <c r="V40" s="63" t="str"/>
      <c r="W40" s="63" t="n">
        <v>0</v>
      </c>
      <c r="X40" s="63" t="str"/>
      <c r="Y40" s="63" t="inlineStr">
        <is>
          <t>Sí</t>
        </is>
      </c>
      <c r="Z40" s="63" t="inlineStr">
        <is>
          <t>Sí</t>
        </is>
      </c>
      <c r="AA40" s="63" t="inlineStr">
        <is>
          <t>No</t>
        </is>
      </c>
      <c r="AB40" s="63" t="inlineStr">
        <is>
          <t>No</t>
        </is>
      </c>
      <c r="AC40" s="63" t="str"/>
      <c r="AD40" s="64" t="str"/>
    </row>
    <row r="41">
      <c r="A41" s="62" t="inlineStr">
        <is>
          <t>Marzo 2026</t>
        </is>
      </c>
      <c r="B41" s="63" t="n"/>
      <c r="C41" s="63" t="inlineStr">
        <is>
          <t>Instagram</t>
        </is>
      </c>
      <c r="D41" s="63" t="inlineStr">
        <is>
          <t>UGC</t>
        </is>
      </c>
      <c r="E41" s="63" t="inlineStr">
        <is>
          <t>STORY</t>
        </is>
      </c>
      <c r="F41" s="63" t="inlineStr">
        <is>
          <t>maicao</t>
        </is>
      </c>
      <c r="G41" s="63" t="inlineStr">
        <is>
          <t>repost ugc samy</t>
        </is>
      </c>
      <c r="H41" s="63" t="str"/>
      <c r="I41" s="63" t="str"/>
      <c r="J41" s="63" t="str"/>
      <c r="K41" s="63" t="n">
        <v>4329</v>
      </c>
      <c r="L41" s="63" t="n">
        <v>3672</v>
      </c>
      <c r="M41" s="63" t="n">
        <v>15</v>
      </c>
      <c r="N41" s="63" t="n">
        <v>1</v>
      </c>
      <c r="O41" s="63" t="n">
        <v>1</v>
      </c>
      <c r="P41" s="63" t="n">
        <v>0</v>
      </c>
      <c r="Q41" s="63" t="n">
        <v>0</v>
      </c>
      <c r="R41" s="63" t="n">
        <v>0</v>
      </c>
      <c r="S41" s="63" t="n">
        <v>11</v>
      </c>
      <c r="T41" s="63" t="n">
        <v>28</v>
      </c>
      <c r="U41" s="63" t="n">
        <v>0.7625272331</v>
      </c>
      <c r="V41" s="63" t="str"/>
      <c r="W41" s="63" t="n">
        <v>0</v>
      </c>
      <c r="X41" s="63" t="str"/>
      <c r="Y41" s="63" t="inlineStr">
        <is>
          <t>Sí</t>
        </is>
      </c>
      <c r="Z41" s="63" t="inlineStr">
        <is>
          <t>Sí</t>
        </is>
      </c>
      <c r="AA41" s="63" t="inlineStr">
        <is>
          <t>No</t>
        </is>
      </c>
      <c r="AB41" s="63" t="inlineStr">
        <is>
          <t>Sí</t>
        </is>
      </c>
      <c r="AC41" s="63" t="str"/>
      <c r="AD41" s="64" t="str"/>
    </row>
    <row r="42">
      <c r="A42" s="62" t="inlineStr">
        <is>
          <t>Marzo 2026</t>
        </is>
      </c>
      <c r="B42" s="63" t="n"/>
      <c r="C42" s="63" t="inlineStr">
        <is>
          <t>Instagram</t>
        </is>
      </c>
      <c r="D42" s="63" t="inlineStr">
        <is>
          <t>RUTA</t>
        </is>
      </c>
      <c r="E42" s="63" t="inlineStr">
        <is>
          <t>STORY</t>
        </is>
      </c>
      <c r="F42" s="63" t="inlineStr">
        <is>
          <t>maicao</t>
        </is>
      </c>
      <c r="G42" s="63" t="inlineStr">
        <is>
          <t>ruta viña</t>
        </is>
      </c>
      <c r="H42" s="63" t="str"/>
      <c r="I42" s="63" t="str"/>
      <c r="J42" s="63" t="str"/>
      <c r="K42" s="63" t="n">
        <v>10028</v>
      </c>
      <c r="L42" s="63" t="n">
        <v>8269</v>
      </c>
      <c r="M42" s="63" t="n">
        <v>27</v>
      </c>
      <c r="N42" s="63" t="n">
        <v>0</v>
      </c>
      <c r="O42" s="63" t="n">
        <v>3</v>
      </c>
      <c r="P42" s="63" t="n">
        <v>0</v>
      </c>
      <c r="Q42" s="63" t="n">
        <v>0</v>
      </c>
      <c r="R42" s="63" t="n">
        <v>0</v>
      </c>
      <c r="S42" s="63" t="n">
        <v>0</v>
      </c>
      <c r="T42" s="63" t="n">
        <v>30</v>
      </c>
      <c r="U42" s="63" t="n">
        <v>0.3628008223</v>
      </c>
      <c r="V42" s="63" t="str"/>
      <c r="W42" s="63" t="n">
        <v>0</v>
      </c>
      <c r="X42" s="63" t="str"/>
      <c r="Y42" s="63" t="inlineStr">
        <is>
          <t>Sí</t>
        </is>
      </c>
      <c r="Z42" s="63" t="inlineStr">
        <is>
          <t>Sí</t>
        </is>
      </c>
      <c r="AA42" s="63" t="inlineStr">
        <is>
          <t>No</t>
        </is>
      </c>
      <c r="AB42" s="63" t="inlineStr">
        <is>
          <t>No</t>
        </is>
      </c>
      <c r="AC42" s="63" t="str"/>
      <c r="AD42" s="64" t="str"/>
    </row>
    <row r="43">
      <c r="A43" s="62" t="inlineStr">
        <is>
          <t>Marzo 2026</t>
        </is>
      </c>
      <c r="B43" s="63" t="n"/>
      <c r="C43" s="63" t="inlineStr">
        <is>
          <t>Instagram</t>
        </is>
      </c>
      <c r="D43" s="63" t="inlineStr">
        <is>
          <t>RUTA</t>
        </is>
      </c>
      <c r="E43" s="63" t="inlineStr">
        <is>
          <t>STORY</t>
        </is>
      </c>
      <c r="F43" s="63" t="inlineStr">
        <is>
          <t>maicao</t>
        </is>
      </c>
      <c r="G43" s="63" t="inlineStr">
        <is>
          <t>ruta viña</t>
        </is>
      </c>
      <c r="H43" s="63" t="str"/>
      <c r="I43" s="63" t="str"/>
      <c r="J43" s="63" t="str"/>
      <c r="K43" s="63" t="n">
        <v>4409</v>
      </c>
      <c r="L43" s="63" t="n">
        <v>3870</v>
      </c>
      <c r="M43" s="63" t="n">
        <v>24</v>
      </c>
      <c r="N43" s="63" t="n">
        <v>1</v>
      </c>
      <c r="O43" s="63" t="n">
        <v>5</v>
      </c>
      <c r="P43" s="63" t="n">
        <v>0</v>
      </c>
      <c r="Q43" s="63" t="n">
        <v>0</v>
      </c>
      <c r="R43" s="63" t="n">
        <v>0</v>
      </c>
      <c r="S43" s="63" t="n">
        <v>0</v>
      </c>
      <c r="T43" s="63" t="n">
        <v>30</v>
      </c>
      <c r="U43" s="63" t="n">
        <v>0.7751937984</v>
      </c>
      <c r="V43" s="63" t="str"/>
      <c r="W43" s="63" t="n">
        <v>0</v>
      </c>
      <c r="X43" s="63" t="str"/>
      <c r="Y43" s="63" t="inlineStr">
        <is>
          <t>Sí</t>
        </is>
      </c>
      <c r="Z43" s="63" t="inlineStr">
        <is>
          <t>Sí</t>
        </is>
      </c>
      <c r="AA43" s="63" t="inlineStr">
        <is>
          <t>No</t>
        </is>
      </c>
      <c r="AB43" s="63" t="inlineStr">
        <is>
          <t>No</t>
        </is>
      </c>
      <c r="AC43" s="63" t="str"/>
      <c r="AD43" s="64" t="str"/>
    </row>
    <row r="44">
      <c r="A44" s="62" t="inlineStr">
        <is>
          <t>Marzo 2026</t>
        </is>
      </c>
      <c r="B44" s="63" t="n"/>
      <c r="C44" s="63" t="inlineStr">
        <is>
          <t>Instagram</t>
        </is>
      </c>
      <c r="D44" s="63" t="inlineStr">
        <is>
          <t>CAMPAÑA</t>
        </is>
      </c>
      <c r="E44" s="63" t="inlineStr">
        <is>
          <t>STORY</t>
        </is>
      </c>
      <c r="F44" s="63" t="inlineStr">
        <is>
          <t>maicao</t>
        </is>
      </c>
      <c r="G44" s="63" t="inlineStr">
        <is>
          <t>repost emiguiselle máscara bubble</t>
        </is>
      </c>
      <c r="H44" s="63" t="str"/>
      <c r="I44" s="63" t="str"/>
      <c r="J44" s="63" t="str"/>
      <c r="K44" s="63" t="n">
        <v>2861</v>
      </c>
      <c r="L44" s="63" t="n">
        <v>2562</v>
      </c>
      <c r="M44" s="63" t="n">
        <v>16</v>
      </c>
      <c r="N44" s="63" t="n">
        <v>1</v>
      </c>
      <c r="O44" s="63" t="n">
        <v>0</v>
      </c>
      <c r="P44" s="63" t="n">
        <v>0</v>
      </c>
      <c r="Q44" s="63" t="n">
        <v>0</v>
      </c>
      <c r="R44" s="63" t="n">
        <v>11</v>
      </c>
      <c r="S44" s="63" t="n">
        <v>3</v>
      </c>
      <c r="T44" s="63" t="n">
        <v>31</v>
      </c>
      <c r="U44" s="63" t="n">
        <v>1.209992194</v>
      </c>
      <c r="V44" s="63" t="str"/>
      <c r="W44" s="63" t="n">
        <v>0</v>
      </c>
      <c r="X44" s="63" t="str"/>
      <c r="Y44" s="63" t="inlineStr">
        <is>
          <t>Sí</t>
        </is>
      </c>
      <c r="Z44" s="63" t="inlineStr">
        <is>
          <t>Sí</t>
        </is>
      </c>
      <c r="AA44" s="63" t="inlineStr">
        <is>
          <t>No</t>
        </is>
      </c>
      <c r="AB44" s="63" t="inlineStr">
        <is>
          <t>No</t>
        </is>
      </c>
      <c r="AC44" s="63" t="str"/>
      <c r="AD44" s="64" t="str"/>
    </row>
    <row r="45">
      <c r="A45" s="62" t="inlineStr">
        <is>
          <t>Marzo 2026</t>
        </is>
      </c>
      <c r="B45" s="63" t="n"/>
      <c r="C45" s="63" t="inlineStr">
        <is>
          <t>Instagram</t>
        </is>
      </c>
      <c r="D45" s="63" t="inlineStr">
        <is>
          <t>CAMPAÑA COLOR CRUSH</t>
        </is>
      </c>
      <c r="E45" s="63" t="inlineStr">
        <is>
          <t>STORY</t>
        </is>
      </c>
      <c r="F45" s="63" t="inlineStr">
        <is>
          <t>maicao</t>
        </is>
      </c>
      <c r="G45" s="63" t="inlineStr">
        <is>
          <t>repost sofia mezzano</t>
        </is>
      </c>
      <c r="H45" s="63" t="str"/>
      <c r="I45" s="63" t="str"/>
      <c r="J45" s="63" t="str"/>
      <c r="K45" s="63" t="n">
        <v>2412</v>
      </c>
      <c r="L45" s="63" t="n">
        <v>2136</v>
      </c>
      <c r="M45" s="63" t="n">
        <v>17</v>
      </c>
      <c r="N45" s="63" t="n">
        <v>1</v>
      </c>
      <c r="O45" s="63" t="n">
        <v>1</v>
      </c>
      <c r="P45" s="63" t="n">
        <v>0</v>
      </c>
      <c r="Q45" s="63" t="n">
        <v>0</v>
      </c>
      <c r="R45" s="63" t="n">
        <v>12</v>
      </c>
      <c r="S45" s="63" t="n">
        <v>15</v>
      </c>
      <c r="T45" s="63" t="n">
        <v>46</v>
      </c>
      <c r="U45" s="63" t="n">
        <v>2.153558052</v>
      </c>
      <c r="V45" s="63" t="str"/>
      <c r="W45" s="63" t="n">
        <v>0</v>
      </c>
      <c r="X45" s="63" t="str"/>
      <c r="Y45" s="63" t="inlineStr">
        <is>
          <t>Sí</t>
        </is>
      </c>
      <c r="Z45" s="63" t="inlineStr">
        <is>
          <t>Sí</t>
        </is>
      </c>
      <c r="AA45" s="63" t="inlineStr">
        <is>
          <t>No</t>
        </is>
      </c>
      <c r="AB45" s="63" t="inlineStr">
        <is>
          <t>No</t>
        </is>
      </c>
      <c r="AC45" s="63" t="str"/>
      <c r="AD45" s="64" t="str"/>
    </row>
    <row r="46">
      <c r="A46" s="62" t="inlineStr">
        <is>
          <t>Marzo 2026</t>
        </is>
      </c>
      <c r="B46" s="63" t="n"/>
      <c r="C46" s="63" t="inlineStr">
        <is>
          <t>Instagram</t>
        </is>
      </c>
      <c r="D46" s="63" t="inlineStr">
        <is>
          <t>ELVIVE COLAGENO LIFTER</t>
        </is>
      </c>
      <c r="E46" s="63" t="inlineStr">
        <is>
          <t>STORY</t>
        </is>
      </c>
      <c r="F46" s="63" t="inlineStr">
        <is>
          <t>maicao</t>
        </is>
      </c>
      <c r="G46" s="63" t="inlineStr">
        <is>
          <t>repost disley Elvive Colageno</t>
        </is>
      </c>
      <c r="H46" s="63" t="str"/>
      <c r="I46" s="63" t="str"/>
      <c r="J46" s="63" t="str"/>
      <c r="K46" s="63" t="n">
        <v>1617</v>
      </c>
      <c r="L46" s="63" t="n">
        <v>1394</v>
      </c>
      <c r="M46" s="63" t="n">
        <v>9</v>
      </c>
      <c r="N46" s="63" t="n">
        <v>3</v>
      </c>
      <c r="O46" s="63" t="n">
        <v>1</v>
      </c>
      <c r="P46" s="63" t="n">
        <v>0</v>
      </c>
      <c r="Q46" s="63" t="n">
        <v>0</v>
      </c>
      <c r="R46" s="63" t="n">
        <v>0</v>
      </c>
      <c r="S46" s="63" t="n">
        <v>3</v>
      </c>
      <c r="T46" s="63" t="n">
        <v>16</v>
      </c>
      <c r="U46" s="63" t="n">
        <v>1.147776184</v>
      </c>
      <c r="V46" s="63" t="str"/>
      <c r="W46" s="63" t="n">
        <v>0</v>
      </c>
      <c r="X46" s="63" t="str"/>
      <c r="Y46" s="63" t="inlineStr">
        <is>
          <t>Sí</t>
        </is>
      </c>
      <c r="Z46" s="63" t="inlineStr">
        <is>
          <t>Sí</t>
        </is>
      </c>
      <c r="AA46" s="63" t="inlineStr">
        <is>
          <t>No</t>
        </is>
      </c>
      <c r="AB46" s="63" t="inlineStr">
        <is>
          <t>No</t>
        </is>
      </c>
      <c r="AC46" s="63" t="str"/>
      <c r="AD46" s="64" t="str"/>
    </row>
    <row r="47">
      <c r="A47" s="62" t="inlineStr">
        <is>
          <t>Marzo 2026</t>
        </is>
      </c>
      <c r="B47" s="63" t="n"/>
      <c r="C47" s="63" t="inlineStr">
        <is>
          <t>Instagram</t>
        </is>
      </c>
      <c r="D47" s="63" t="inlineStr">
        <is>
          <t>CAMPAÑA</t>
        </is>
      </c>
      <c r="E47" s="63" t="inlineStr">
        <is>
          <t>STORY</t>
        </is>
      </c>
      <c r="F47" s="63" t="inlineStr">
        <is>
          <t>maicao</t>
        </is>
      </c>
      <c r="G47" s="63" t="inlineStr">
        <is>
          <t>viral beauty</t>
        </is>
      </c>
      <c r="H47" s="63" t="str"/>
      <c r="I47" s="63" t="str"/>
      <c r="J47" s="63" t="str"/>
      <c r="K47" s="63" t="n">
        <v>2949</v>
      </c>
      <c r="L47" s="63" t="n">
        <v>2401</v>
      </c>
      <c r="M47" s="63" t="n">
        <v>17</v>
      </c>
      <c r="N47" s="63" t="n">
        <v>1</v>
      </c>
      <c r="O47" s="63" t="n">
        <v>2</v>
      </c>
      <c r="P47" s="63" t="n">
        <v>0</v>
      </c>
      <c r="Q47" s="63" t="n">
        <v>0</v>
      </c>
      <c r="R47" s="63" t="n">
        <v>0</v>
      </c>
      <c r="S47" s="63" t="n">
        <v>40</v>
      </c>
      <c r="T47" s="63" t="n">
        <v>60</v>
      </c>
      <c r="U47" s="63" t="n">
        <v>2.498958767</v>
      </c>
      <c r="V47" s="63" t="str"/>
      <c r="W47" s="63" t="n">
        <v>0</v>
      </c>
      <c r="X47" s="63" t="str"/>
      <c r="Y47" s="63" t="inlineStr">
        <is>
          <t>Sí</t>
        </is>
      </c>
      <c r="Z47" s="63" t="inlineStr">
        <is>
          <t>Sí</t>
        </is>
      </c>
      <c r="AA47" s="63" t="inlineStr">
        <is>
          <t>No</t>
        </is>
      </c>
      <c r="AB47" s="63" t="inlineStr">
        <is>
          <t>No</t>
        </is>
      </c>
      <c r="AC47" s="63" t="str"/>
      <c r="AD47" s="64" t="str"/>
    </row>
    <row r="48">
      <c r="A48" s="62" t="inlineStr">
        <is>
          <t>Marzo 2026</t>
        </is>
      </c>
      <c r="B48" s="63" t="n"/>
      <c r="C48" s="63" t="inlineStr">
        <is>
          <t>Instagram</t>
        </is>
      </c>
      <c r="D48" s="63" t="inlineStr">
        <is>
          <t>RUTA</t>
        </is>
      </c>
      <c r="E48" s="63" t="inlineStr">
        <is>
          <t>STORY</t>
        </is>
      </c>
      <c r="F48" s="63" t="inlineStr">
        <is>
          <t>maicao</t>
        </is>
      </c>
      <c r="G48" s="63" t="inlineStr">
        <is>
          <t>ruta viña</t>
        </is>
      </c>
      <c r="H48" s="63" t="str"/>
      <c r="I48" s="63" t="str"/>
      <c r="J48" s="63" t="str"/>
      <c r="K48" s="63" t="n">
        <v>2364</v>
      </c>
      <c r="L48" s="63" t="n">
        <v>2011</v>
      </c>
      <c r="M48" s="63" t="n">
        <v>20</v>
      </c>
      <c r="N48" s="63" t="n">
        <v>1</v>
      </c>
      <c r="O48" s="63" t="n">
        <v>5</v>
      </c>
      <c r="P48" s="63" t="n">
        <v>0</v>
      </c>
      <c r="Q48" s="63" t="n">
        <v>0</v>
      </c>
      <c r="R48" s="63" t="n">
        <v>0</v>
      </c>
      <c r="S48" s="63" t="n">
        <v>0</v>
      </c>
      <c r="T48" s="63" t="n">
        <v>26</v>
      </c>
      <c r="U48" s="63" t="n">
        <v>1.29288911</v>
      </c>
      <c r="V48" s="63" t="str"/>
      <c r="W48" s="63" t="n">
        <v>0</v>
      </c>
      <c r="X48" s="63" t="str"/>
      <c r="Y48" s="63" t="inlineStr">
        <is>
          <t>Sí</t>
        </is>
      </c>
      <c r="Z48" s="63" t="inlineStr">
        <is>
          <t>Sí</t>
        </is>
      </c>
      <c r="AA48" s="63" t="inlineStr">
        <is>
          <t>No</t>
        </is>
      </c>
      <c r="AB48" s="63" t="inlineStr">
        <is>
          <t>No</t>
        </is>
      </c>
      <c r="AC48" s="63" t="str"/>
      <c r="AD48" s="64" t="str"/>
    </row>
    <row r="49">
      <c r="A49" s="62" t="inlineStr">
        <is>
          <t>Marzo 2026</t>
        </is>
      </c>
      <c r="B49" s="63" t="n"/>
      <c r="C49" s="63" t="inlineStr">
        <is>
          <t>Instagram</t>
        </is>
      </c>
      <c r="D49" s="63" t="inlineStr">
        <is>
          <t>CAMPAÑA COLOR CRUSH</t>
        </is>
      </c>
      <c r="E49" s="63" t="inlineStr">
        <is>
          <t>STORY</t>
        </is>
      </c>
      <c r="F49" s="63" t="inlineStr">
        <is>
          <t>maicao</t>
        </is>
      </c>
      <c r="G49" s="63" t="inlineStr">
        <is>
          <t>repost muyjosefa</t>
        </is>
      </c>
      <c r="H49" s="63" t="str"/>
      <c r="I49" s="63" t="str"/>
      <c r="J49" s="63" t="str"/>
      <c r="K49" s="63" t="n">
        <v>2573</v>
      </c>
      <c r="L49" s="63" t="n">
        <v>2219</v>
      </c>
      <c r="M49" s="63" t="n">
        <v>20</v>
      </c>
      <c r="N49" s="63" t="n">
        <v>1</v>
      </c>
      <c r="O49" s="63" t="n">
        <v>1</v>
      </c>
      <c r="P49" s="63" t="n">
        <v>0</v>
      </c>
      <c r="Q49" s="63" t="n">
        <v>0</v>
      </c>
      <c r="R49" s="63" t="n">
        <v>12</v>
      </c>
      <c r="S49" s="63" t="n">
        <v>0</v>
      </c>
      <c r="T49" s="63" t="n">
        <v>34</v>
      </c>
      <c r="U49" s="63" t="n">
        <v>1.532221721</v>
      </c>
      <c r="V49" s="63" t="str"/>
      <c r="W49" s="63" t="n">
        <v>0</v>
      </c>
      <c r="X49" s="63" t="str"/>
      <c r="Y49" s="63" t="inlineStr">
        <is>
          <t>Sí</t>
        </is>
      </c>
      <c r="Z49" s="63" t="inlineStr">
        <is>
          <t>Sí</t>
        </is>
      </c>
      <c r="AA49" s="63" t="inlineStr">
        <is>
          <t>No</t>
        </is>
      </c>
      <c r="AB49" s="63" t="inlineStr">
        <is>
          <t>No</t>
        </is>
      </c>
      <c r="AC49" s="63" t="str"/>
      <c r="AD49" s="64" t="str"/>
    </row>
    <row r="50">
      <c r="A50" s="62" t="inlineStr">
        <is>
          <t>Marzo 2026</t>
        </is>
      </c>
      <c r="B50" s="63" t="n"/>
      <c r="C50" s="63" t="inlineStr">
        <is>
          <t>Instagram</t>
        </is>
      </c>
      <c r="D50" s="63" t="inlineStr">
        <is>
          <t>CAMPAÑA</t>
        </is>
      </c>
      <c r="E50" s="63" t="inlineStr">
        <is>
          <t>STORY</t>
        </is>
      </c>
      <c r="F50" s="63" t="inlineStr">
        <is>
          <t>maicao</t>
        </is>
      </c>
      <c r="G50" s="63" t="inlineStr">
        <is>
          <t>repost la busquilla - perfumes a $10.000</t>
        </is>
      </c>
      <c r="H50" s="63" t="str"/>
      <c r="I50" s="63" t="str"/>
      <c r="J50" s="63" t="str"/>
      <c r="K50" s="63" t="n">
        <v>4432</v>
      </c>
      <c r="L50" s="63" t="n">
        <v>3821</v>
      </c>
      <c r="M50" s="63" t="n">
        <v>26</v>
      </c>
      <c r="N50" s="63" t="n">
        <v>1</v>
      </c>
      <c r="O50" s="63" t="n">
        <v>2</v>
      </c>
      <c r="P50" s="63" t="n">
        <v>0</v>
      </c>
      <c r="Q50" s="63" t="n">
        <v>0</v>
      </c>
      <c r="R50" s="63" t="n">
        <v>4</v>
      </c>
      <c r="S50" s="63" t="n">
        <v>0</v>
      </c>
      <c r="T50" s="63" t="n">
        <v>33</v>
      </c>
      <c r="U50" s="63" t="n">
        <v>0.8636482596</v>
      </c>
      <c r="V50" s="63" t="str"/>
      <c r="W50" s="63" t="n">
        <v>0</v>
      </c>
      <c r="X50" s="63" t="str"/>
      <c r="Y50" s="63" t="inlineStr">
        <is>
          <t>Sí</t>
        </is>
      </c>
      <c r="Z50" s="63" t="inlineStr">
        <is>
          <t>Sí</t>
        </is>
      </c>
      <c r="AA50" s="63" t="inlineStr">
        <is>
          <t>No</t>
        </is>
      </c>
      <c r="AB50" s="63" t="inlineStr">
        <is>
          <t>No</t>
        </is>
      </c>
      <c r="AC50" s="63" t="str"/>
      <c r="AD50" s="64" t="str"/>
    </row>
    <row r="51">
      <c r="A51" s="62" t="inlineStr">
        <is>
          <t>Marzo 2026</t>
        </is>
      </c>
      <c r="B51" s="63" t="n"/>
      <c r="C51" s="63" t="inlineStr">
        <is>
          <t>Instagram</t>
        </is>
      </c>
      <c r="D51" s="63" t="inlineStr">
        <is>
          <t>EXTRA</t>
        </is>
      </c>
      <c r="E51" s="63" t="inlineStr">
        <is>
          <t>STORY</t>
        </is>
      </c>
      <c r="F51" s="63" t="inlineStr">
        <is>
          <t>maicao</t>
        </is>
      </c>
      <c r="G51" s="63" t="inlineStr">
        <is>
          <t>teaser ruta la cisterna</t>
        </is>
      </c>
      <c r="H51" s="63" t="str"/>
      <c r="I51" s="63" t="str"/>
      <c r="J51" s="63" t="str"/>
      <c r="K51" s="63" t="n">
        <v>4107</v>
      </c>
      <c r="L51" s="63" t="n">
        <v>3566</v>
      </c>
      <c r="M51" s="63" t="n">
        <v>37</v>
      </c>
      <c r="N51" s="63" t="n">
        <v>2</v>
      </c>
      <c r="O51" s="63" t="n">
        <v>1</v>
      </c>
      <c r="P51" s="63" t="n">
        <v>0</v>
      </c>
      <c r="Q51" s="63" t="n">
        <v>0</v>
      </c>
      <c r="R51" s="63" t="n">
        <v>0</v>
      </c>
      <c r="S51" s="63" t="n">
        <v>0</v>
      </c>
      <c r="T51" s="63" t="n">
        <v>40</v>
      </c>
      <c r="U51" s="63" t="n">
        <v>1.121704992</v>
      </c>
      <c r="V51" s="63" t="str"/>
      <c r="W51" s="63" t="n">
        <v>0</v>
      </c>
      <c r="X51" s="63" t="str"/>
      <c r="Y51" s="63" t="inlineStr">
        <is>
          <t>Sí</t>
        </is>
      </c>
      <c r="Z51" s="63" t="inlineStr">
        <is>
          <t>Sí</t>
        </is>
      </c>
      <c r="AA51" s="63" t="inlineStr">
        <is>
          <t>No</t>
        </is>
      </c>
      <c r="AB51" s="63" t="inlineStr">
        <is>
          <t>No</t>
        </is>
      </c>
      <c r="AC51" s="63" t="str"/>
      <c r="AD51" s="64" t="str"/>
    </row>
    <row r="52">
      <c r="A52" s="62" t="inlineStr">
        <is>
          <t>Marzo 2026</t>
        </is>
      </c>
      <c r="B52" s="63" t="n"/>
      <c r="C52" s="63" t="inlineStr">
        <is>
          <t>Instagram</t>
        </is>
      </c>
      <c r="D52" s="63" t="inlineStr">
        <is>
          <t>SAMY</t>
        </is>
      </c>
      <c r="E52" s="63" t="inlineStr">
        <is>
          <t>STORY</t>
        </is>
      </c>
      <c r="F52" s="63" t="inlineStr">
        <is>
          <t>maicao</t>
        </is>
      </c>
      <c r="G52" s="63" t="inlineStr">
        <is>
          <t>repost varasmusica</t>
        </is>
      </c>
      <c r="H52" s="63" t="str"/>
      <c r="I52" s="63" t="str"/>
      <c r="J52" s="63" t="str"/>
      <c r="K52" s="63" t="n">
        <v>3596</v>
      </c>
      <c r="L52" s="63" t="n">
        <v>3164</v>
      </c>
      <c r="M52" s="63" t="n">
        <v>24</v>
      </c>
      <c r="N52" s="63" t="n">
        <v>1</v>
      </c>
      <c r="O52" s="63" t="n">
        <v>2</v>
      </c>
      <c r="P52" s="63" t="n">
        <v>0</v>
      </c>
      <c r="Q52" s="63" t="n">
        <v>0</v>
      </c>
      <c r="R52" s="63" t="n">
        <v>0</v>
      </c>
      <c r="S52" s="63" t="n">
        <v>26</v>
      </c>
      <c r="T52" s="63" t="n">
        <v>53</v>
      </c>
      <c r="U52" s="63" t="n">
        <v>1.675094817</v>
      </c>
      <c r="V52" s="63" t="str"/>
      <c r="W52" s="63" t="n">
        <v>0</v>
      </c>
      <c r="X52" s="63" t="str"/>
      <c r="Y52" s="63" t="inlineStr">
        <is>
          <t>Sí</t>
        </is>
      </c>
      <c r="Z52" s="63" t="inlineStr">
        <is>
          <t>Sí</t>
        </is>
      </c>
      <c r="AA52" s="63" t="inlineStr">
        <is>
          <t>No</t>
        </is>
      </c>
      <c r="AB52" s="63" t="inlineStr">
        <is>
          <t>No</t>
        </is>
      </c>
      <c r="AC52" s="63" t="str"/>
      <c r="AD52" s="64" t="str"/>
    </row>
    <row r="53">
      <c r="A53" s="62" t="inlineStr">
        <is>
          <t>Marzo 2026</t>
        </is>
      </c>
      <c r="B53" s="63" t="n"/>
      <c r="C53" s="63" t="inlineStr">
        <is>
          <t>Instagram</t>
        </is>
      </c>
      <c r="D53" s="63" t="inlineStr">
        <is>
          <t>RUTA</t>
        </is>
      </c>
      <c r="E53" s="63" t="inlineStr">
        <is>
          <t>STORY</t>
        </is>
      </c>
      <c r="F53" s="63" t="inlineStr">
        <is>
          <t>maicao</t>
        </is>
      </c>
      <c r="G53" s="63" t="inlineStr">
        <is>
          <t>ruta la cisterna</t>
        </is>
      </c>
      <c r="H53" s="63" t="str"/>
      <c r="I53" s="63" t="str"/>
      <c r="J53" s="63" t="str"/>
      <c r="K53" s="63" t="n">
        <v>6495</v>
      </c>
      <c r="L53" s="63" t="n">
        <v>5538</v>
      </c>
      <c r="M53" s="63" t="n">
        <v>34</v>
      </c>
      <c r="N53" s="63" t="n">
        <v>4</v>
      </c>
      <c r="O53" s="63" t="n">
        <v>2</v>
      </c>
      <c r="P53" s="63" t="n">
        <v>0</v>
      </c>
      <c r="Q53" s="63" t="n">
        <v>0</v>
      </c>
      <c r="R53" s="63" t="n">
        <v>0</v>
      </c>
      <c r="S53" s="63" t="n">
        <v>0</v>
      </c>
      <c r="T53" s="63" t="n">
        <v>40</v>
      </c>
      <c r="U53" s="63" t="n">
        <v>0.7222824124</v>
      </c>
      <c r="V53" s="63" t="str"/>
      <c r="W53" s="63" t="n">
        <v>0</v>
      </c>
      <c r="X53" s="63" t="str"/>
      <c r="Y53" s="63" t="inlineStr">
        <is>
          <t>Sí</t>
        </is>
      </c>
      <c r="Z53" s="63" t="inlineStr">
        <is>
          <t>Sí</t>
        </is>
      </c>
      <c r="AA53" s="63" t="inlineStr">
        <is>
          <t>No</t>
        </is>
      </c>
      <c r="AB53" s="63" t="inlineStr">
        <is>
          <t>No</t>
        </is>
      </c>
      <c r="AC53" s="63" t="str"/>
      <c r="AD53" s="64" t="str"/>
    </row>
    <row r="54">
      <c r="A54" s="62" t="inlineStr">
        <is>
          <t>Marzo 2026</t>
        </is>
      </c>
      <c r="B54" s="63" t="n"/>
      <c r="C54" s="63" t="inlineStr">
        <is>
          <t>Instagram</t>
        </is>
      </c>
      <c r="D54" s="63" t="inlineStr">
        <is>
          <t>CAMPAÑA</t>
        </is>
      </c>
      <c r="E54" s="63" t="inlineStr">
        <is>
          <t>STORY</t>
        </is>
      </c>
      <c r="F54" s="63" t="inlineStr">
        <is>
          <t>maicao</t>
        </is>
      </c>
      <c r="G54" s="63" t="inlineStr">
        <is>
          <t>ruta la cisterna</t>
        </is>
      </c>
      <c r="H54" s="63" t="str"/>
      <c r="I54" s="63" t="str"/>
      <c r="J54" s="63" t="str"/>
      <c r="K54" s="63" t="n">
        <v>6891</v>
      </c>
      <c r="L54" s="63" t="n">
        <v>5276</v>
      </c>
      <c r="M54" s="63" t="n">
        <v>29</v>
      </c>
      <c r="N54" s="63" t="n">
        <v>3</v>
      </c>
      <c r="O54" s="63" t="n">
        <v>6</v>
      </c>
      <c r="P54" s="63" t="n">
        <v>0</v>
      </c>
      <c r="Q54" s="63" t="n">
        <v>0</v>
      </c>
      <c r="R54" s="63" t="n">
        <v>0</v>
      </c>
      <c r="S54" s="63" t="n">
        <v>0</v>
      </c>
      <c r="T54" s="63" t="n">
        <v>38</v>
      </c>
      <c r="U54" s="63" t="n">
        <v>0.720242608</v>
      </c>
      <c r="V54" s="63" t="str"/>
      <c r="W54" s="63" t="n">
        <v>0</v>
      </c>
      <c r="X54" s="63" t="str"/>
      <c r="Y54" s="63" t="inlineStr">
        <is>
          <t>Sí</t>
        </is>
      </c>
      <c r="Z54" s="63" t="inlineStr">
        <is>
          <t>Sí</t>
        </is>
      </c>
      <c r="AA54" s="63" t="inlineStr">
        <is>
          <t>No</t>
        </is>
      </c>
      <c r="AB54" s="63" t="inlineStr">
        <is>
          <t>No</t>
        </is>
      </c>
      <c r="AC54" s="63" t="str"/>
      <c r="AD54" s="64" t="str"/>
    </row>
    <row r="55">
      <c r="A55" s="62" t="inlineStr">
        <is>
          <t>Marzo 2026</t>
        </is>
      </c>
      <c r="B55" s="63" t="n"/>
      <c r="C55" s="63" t="inlineStr">
        <is>
          <t>Instagram</t>
        </is>
      </c>
      <c r="D55" s="63" t="inlineStr">
        <is>
          <t>SAMY</t>
        </is>
      </c>
      <c r="E55" s="63" t="inlineStr">
        <is>
          <t>STORY</t>
        </is>
      </c>
      <c r="F55" s="63" t="inlineStr">
        <is>
          <t>maicao</t>
        </is>
      </c>
      <c r="G55" s="63" t="inlineStr">
        <is>
          <t>repost noeayleen grwm uni</t>
        </is>
      </c>
      <c r="H55" s="63" t="str"/>
      <c r="I55" s="63" t="str"/>
      <c r="J55" s="63" t="str"/>
      <c r="K55" s="63" t="n">
        <v>2274</v>
      </c>
      <c r="L55" s="63" t="n">
        <v>1985</v>
      </c>
      <c r="M55" s="63" t="n">
        <v>19</v>
      </c>
      <c r="N55" s="63" t="n">
        <v>0</v>
      </c>
      <c r="O55" s="63" t="n">
        <v>0</v>
      </c>
      <c r="P55" s="63" t="n">
        <v>0</v>
      </c>
      <c r="Q55" s="63" t="n">
        <v>0</v>
      </c>
      <c r="R55" s="63" t="n">
        <v>4</v>
      </c>
      <c r="S55" s="63" t="n">
        <v>5</v>
      </c>
      <c r="T55" s="63" t="n">
        <v>28</v>
      </c>
      <c r="U55" s="63" t="n">
        <v>1.410579345</v>
      </c>
      <c r="V55" s="63" t="str"/>
      <c r="W55" s="63" t="n">
        <v>0</v>
      </c>
      <c r="X55" s="63" t="str"/>
      <c r="Y55" s="63" t="inlineStr">
        <is>
          <t>Sí</t>
        </is>
      </c>
      <c r="Z55" s="63" t="inlineStr">
        <is>
          <t>Sí</t>
        </is>
      </c>
      <c r="AA55" s="63" t="inlineStr">
        <is>
          <t>No</t>
        </is>
      </c>
      <c r="AB55" s="63" t="inlineStr">
        <is>
          <t>No</t>
        </is>
      </c>
      <c r="AC55" s="63" t="str"/>
      <c r="AD55" s="64" t="str"/>
    </row>
    <row r="56">
      <c r="A56" s="62" t="inlineStr">
        <is>
          <t>Marzo 2026</t>
        </is>
      </c>
      <c r="B56" s="63" t="n"/>
      <c r="C56" s="63" t="inlineStr">
        <is>
          <t>Instagram</t>
        </is>
      </c>
      <c r="D56" s="63" t="inlineStr">
        <is>
          <t>RUTA</t>
        </is>
      </c>
      <c r="E56" s="63" t="inlineStr">
        <is>
          <t>STORY</t>
        </is>
      </c>
      <c r="F56" s="63" t="inlineStr">
        <is>
          <t>maicao</t>
        </is>
      </c>
      <c r="G56" s="63" t="inlineStr">
        <is>
          <t>ruta la cisterna</t>
        </is>
      </c>
      <c r="H56" s="63" t="str"/>
      <c r="I56" s="63" t="str"/>
      <c r="J56" s="63" t="str"/>
      <c r="K56" s="63" t="n">
        <v>2359</v>
      </c>
      <c r="L56" s="63" t="n">
        <v>2113</v>
      </c>
      <c r="M56" s="63" t="n">
        <v>20</v>
      </c>
      <c r="N56" s="63" t="n">
        <v>3</v>
      </c>
      <c r="O56" s="63" t="n">
        <v>2</v>
      </c>
      <c r="P56" s="63" t="n">
        <v>0</v>
      </c>
      <c r="Q56" s="63" t="n">
        <v>0</v>
      </c>
      <c r="R56" s="63" t="n">
        <v>0</v>
      </c>
      <c r="S56" s="63" t="n">
        <v>0</v>
      </c>
      <c r="T56" s="63" t="n">
        <v>25</v>
      </c>
      <c r="U56" s="63" t="n">
        <v>1.183151917</v>
      </c>
      <c r="V56" s="63" t="str"/>
      <c r="W56" s="63" t="n">
        <v>0</v>
      </c>
      <c r="X56" s="63" t="str"/>
      <c r="Y56" s="63" t="inlineStr">
        <is>
          <t>Sí</t>
        </is>
      </c>
      <c r="Z56" s="63" t="inlineStr">
        <is>
          <t>Sí</t>
        </is>
      </c>
      <c r="AA56" s="63" t="inlineStr">
        <is>
          <t>No</t>
        </is>
      </c>
      <c r="AB56" s="63" t="inlineStr">
        <is>
          <t>No</t>
        </is>
      </c>
      <c r="AC56" s="63" t="str"/>
      <c r="AD56" s="64" t="str"/>
    </row>
    <row r="57">
      <c r="A57" s="62" t="inlineStr">
        <is>
          <t>Marzo 2026</t>
        </is>
      </c>
      <c r="B57" s="63" t="n"/>
      <c r="C57" s="63" t="inlineStr">
        <is>
          <t>Instagram</t>
        </is>
      </c>
      <c r="D57" s="63" t="inlineStr">
        <is>
          <t>EXTRA</t>
        </is>
      </c>
      <c r="E57" s="63" t="inlineStr">
        <is>
          <t>STORY</t>
        </is>
      </c>
      <c r="F57" s="63" t="inlineStr">
        <is>
          <t>maicao</t>
        </is>
      </c>
      <c r="G57" s="63" t="inlineStr">
        <is>
          <t>día de la felicidad</t>
        </is>
      </c>
      <c r="H57" s="63" t="str"/>
      <c r="I57" s="63" t="str"/>
      <c r="J57" s="63" t="str"/>
      <c r="K57" s="63" t="n">
        <v>2017</v>
      </c>
      <c r="L57" s="63" t="n">
        <v>1837</v>
      </c>
      <c r="M57" s="63" t="n">
        <v>11</v>
      </c>
      <c r="N57" s="63" t="n">
        <v>1</v>
      </c>
      <c r="O57" s="63" t="n">
        <v>0</v>
      </c>
      <c r="P57" s="63" t="n">
        <v>0</v>
      </c>
      <c r="Q57" s="63" t="n">
        <v>0</v>
      </c>
      <c r="R57" s="63" t="n">
        <v>0</v>
      </c>
      <c r="S57" s="63" t="n">
        <v>0</v>
      </c>
      <c r="T57" s="63" t="n">
        <v>12</v>
      </c>
      <c r="U57" s="63" t="n">
        <v>0.6532389766</v>
      </c>
      <c r="V57" s="63" t="str"/>
      <c r="W57" s="63" t="n">
        <v>0</v>
      </c>
      <c r="X57" s="63" t="str"/>
      <c r="Y57" s="63" t="inlineStr">
        <is>
          <t>Sí</t>
        </is>
      </c>
      <c r="Z57" s="63" t="inlineStr">
        <is>
          <t>Sí</t>
        </is>
      </c>
      <c r="AA57" s="63" t="inlineStr">
        <is>
          <t>No</t>
        </is>
      </c>
      <c r="AB57" s="63" t="inlineStr">
        <is>
          <t>No</t>
        </is>
      </c>
      <c r="AC57" s="63" t="str"/>
      <c r="AD57" s="64" t="str"/>
    </row>
    <row r="58">
      <c r="A58" s="62" t="inlineStr">
        <is>
          <t>Marzo 2026</t>
        </is>
      </c>
      <c r="B58" s="63" t="n"/>
      <c r="C58" s="63" t="inlineStr">
        <is>
          <t>Instagram</t>
        </is>
      </c>
      <c r="D58" s="63" t="inlineStr">
        <is>
          <t>EXTRA</t>
        </is>
      </c>
      <c r="E58" s="63" t="inlineStr">
        <is>
          <t>STORY</t>
        </is>
      </c>
      <c r="F58" s="63" t="inlineStr">
        <is>
          <t>maicao</t>
        </is>
      </c>
      <c r="G58" s="63" t="inlineStr">
        <is>
          <t>día del sindrome de down</t>
        </is>
      </c>
      <c r="H58" s="63" t="str"/>
      <c r="I58" s="63" t="str"/>
      <c r="J58" s="63" t="str"/>
      <c r="K58" s="63" t="n">
        <v>3827</v>
      </c>
      <c r="L58" s="63" t="n">
        <v>3279</v>
      </c>
      <c r="M58" s="63" t="n">
        <v>30</v>
      </c>
      <c r="N58" s="63" t="n">
        <v>1</v>
      </c>
      <c r="O58" s="63" t="n">
        <v>3</v>
      </c>
      <c r="P58" s="63" t="n">
        <v>0</v>
      </c>
      <c r="Q58" s="63" t="n">
        <v>0</v>
      </c>
      <c r="R58" s="63" t="n">
        <v>0</v>
      </c>
      <c r="S58" s="63" t="n">
        <v>0</v>
      </c>
      <c r="T58" s="63" t="n">
        <v>34</v>
      </c>
      <c r="U58" s="63" t="n">
        <v>1.036901494</v>
      </c>
      <c r="V58" s="63" t="str"/>
      <c r="W58" s="63" t="n">
        <v>0</v>
      </c>
      <c r="X58" s="63" t="str"/>
      <c r="Y58" s="63" t="inlineStr">
        <is>
          <t>Sí</t>
        </is>
      </c>
      <c r="Z58" s="63" t="inlineStr">
        <is>
          <t>Sí</t>
        </is>
      </c>
      <c r="AA58" s="63" t="inlineStr">
        <is>
          <t>No</t>
        </is>
      </c>
      <c r="AB58" s="63" t="inlineStr">
        <is>
          <t>No</t>
        </is>
      </c>
      <c r="AC58" s="63" t="str"/>
      <c r="AD58" s="64" t="str"/>
    </row>
    <row r="59">
      <c r="A59" s="62" t="inlineStr">
        <is>
          <t>Marzo 2026</t>
        </is>
      </c>
      <c r="B59" s="63" t="n"/>
      <c r="C59" s="63" t="inlineStr">
        <is>
          <t>Instagram</t>
        </is>
      </c>
      <c r="D59" s="63" t="inlineStr">
        <is>
          <t>UGC</t>
        </is>
      </c>
      <c r="E59" s="63" t="inlineStr">
        <is>
          <t>STORY</t>
        </is>
      </c>
      <c r="F59" s="63" t="inlineStr">
        <is>
          <t>maicao</t>
        </is>
      </c>
      <c r="G59" s="63" t="inlineStr">
        <is>
          <t>repost ugc hannah montana</t>
        </is>
      </c>
      <c r="H59" s="63" t="str"/>
      <c r="I59" s="63" t="str"/>
      <c r="J59" s="63" t="str"/>
      <c r="K59" s="63" t="n">
        <v>2782</v>
      </c>
      <c r="L59" s="63" t="n">
        <v>2460</v>
      </c>
      <c r="M59" s="63" t="n">
        <v>17</v>
      </c>
      <c r="N59" s="63" t="n">
        <v>0</v>
      </c>
      <c r="O59" s="63" t="n">
        <v>0</v>
      </c>
      <c r="P59" s="63" t="n">
        <v>0</v>
      </c>
      <c r="Q59" s="63" t="n">
        <v>0</v>
      </c>
      <c r="R59" s="63" t="n">
        <v>0</v>
      </c>
      <c r="S59" s="63" t="n">
        <v>0</v>
      </c>
      <c r="T59" s="63" t="n">
        <v>17</v>
      </c>
      <c r="U59" s="63" t="n">
        <v>0.6910569106</v>
      </c>
      <c r="V59" s="63" t="str"/>
      <c r="W59" s="63" t="n">
        <v>0</v>
      </c>
      <c r="X59" s="63" t="str"/>
      <c r="Y59" s="63" t="inlineStr">
        <is>
          <t>Sí</t>
        </is>
      </c>
      <c r="Z59" s="63" t="inlineStr">
        <is>
          <t>Sí</t>
        </is>
      </c>
      <c r="AA59" s="63" t="inlineStr">
        <is>
          <t>No</t>
        </is>
      </c>
      <c r="AB59" s="63" t="inlineStr">
        <is>
          <t>No</t>
        </is>
      </c>
      <c r="AC59" s="63" t="str"/>
      <c r="AD59" s="64" t="str"/>
    </row>
    <row r="60">
      <c r="A60" s="62" t="inlineStr">
        <is>
          <t>Marzo 2026</t>
        </is>
      </c>
      <c r="B60" s="63" t="n"/>
      <c r="C60" s="63" t="inlineStr">
        <is>
          <t>Instagram</t>
        </is>
      </c>
      <c r="D60" s="63" t="inlineStr">
        <is>
          <t>SQUAD</t>
        </is>
      </c>
      <c r="E60" s="63" t="inlineStr">
        <is>
          <t>STORY</t>
        </is>
      </c>
      <c r="F60" s="63" t="inlineStr">
        <is>
          <t>maicao</t>
        </is>
      </c>
      <c r="G60" s="63" t="inlineStr">
        <is>
          <t>repost la busquilla</t>
        </is>
      </c>
      <c r="H60" s="63" t="str"/>
      <c r="I60" s="63" t="str"/>
      <c r="J60" s="63" t="str"/>
      <c r="K60" s="63" t="n">
        <v>2492</v>
      </c>
      <c r="L60" s="63" t="n">
        <v>2085</v>
      </c>
      <c r="M60" s="63" t="n">
        <v>18</v>
      </c>
      <c r="N60" s="63" t="n">
        <v>0</v>
      </c>
      <c r="O60" s="63" t="n">
        <v>2</v>
      </c>
      <c r="P60" s="63" t="n">
        <v>0</v>
      </c>
      <c r="Q60" s="63" t="n">
        <v>0</v>
      </c>
      <c r="R60" s="63" t="n">
        <v>2</v>
      </c>
      <c r="S60" s="63" t="n">
        <v>25</v>
      </c>
      <c r="T60" s="63" t="n">
        <v>47</v>
      </c>
      <c r="U60" s="63" t="n">
        <v>2.254196643</v>
      </c>
      <c r="V60" s="63" t="str"/>
      <c r="W60" s="63" t="n">
        <v>0</v>
      </c>
      <c r="X60" s="63" t="str"/>
      <c r="Y60" s="63" t="inlineStr">
        <is>
          <t>Sí</t>
        </is>
      </c>
      <c r="Z60" s="63" t="inlineStr">
        <is>
          <t>No</t>
        </is>
      </c>
      <c r="AA60" s="63" t="inlineStr">
        <is>
          <t>Sí</t>
        </is>
      </c>
      <c r="AB60" s="63" t="inlineStr">
        <is>
          <t>No</t>
        </is>
      </c>
      <c r="AC60" s="63" t="str"/>
      <c r="AD60" s="64" t="str"/>
    </row>
    <row r="61">
      <c r="A61" s="62" t="inlineStr">
        <is>
          <t>Marzo 2026</t>
        </is>
      </c>
      <c r="B61" s="63" t="n"/>
      <c r="C61" s="63" t="inlineStr">
        <is>
          <t>Instagram</t>
        </is>
      </c>
      <c r="D61" s="63" t="inlineStr">
        <is>
          <t>EXTRA</t>
        </is>
      </c>
      <c r="E61" s="63" t="inlineStr">
        <is>
          <t>STORY</t>
        </is>
      </c>
      <c r="F61" s="63" t="inlineStr">
        <is>
          <t>maicao</t>
        </is>
      </c>
      <c r="G61" s="63" t="inlineStr">
        <is>
          <t>repost samycosmeticscl</t>
        </is>
      </c>
      <c r="H61" s="63" t="str"/>
      <c r="I61" s="63" t="str"/>
      <c r="J61" s="63" t="str"/>
      <c r="K61" s="63" t="n">
        <v>2233</v>
      </c>
      <c r="L61" s="63" t="n">
        <v>1897</v>
      </c>
      <c r="M61" s="63" t="n">
        <v>11</v>
      </c>
      <c r="N61" s="63" t="n">
        <v>0</v>
      </c>
      <c r="O61" s="63" t="n">
        <v>0</v>
      </c>
      <c r="P61" s="63" t="n">
        <v>0</v>
      </c>
      <c r="Q61" s="63" t="n">
        <v>0</v>
      </c>
      <c r="R61" s="63" t="n">
        <v>0</v>
      </c>
      <c r="S61" s="63" t="n">
        <v>5</v>
      </c>
      <c r="T61" s="63" t="n">
        <v>16</v>
      </c>
      <c r="U61" s="63" t="n">
        <v>0.8434370058</v>
      </c>
      <c r="V61" s="63" t="str"/>
      <c r="W61" s="63" t="n">
        <v>0</v>
      </c>
      <c r="X61" s="63" t="str"/>
      <c r="Y61" s="63" t="inlineStr">
        <is>
          <t>Sí</t>
        </is>
      </c>
      <c r="Z61" s="63" t="inlineStr">
        <is>
          <t>Sí</t>
        </is>
      </c>
      <c r="AA61" s="63" t="inlineStr">
        <is>
          <t>No</t>
        </is>
      </c>
      <c r="AB61" s="63" t="inlineStr">
        <is>
          <t>Sí</t>
        </is>
      </c>
      <c r="AC61" s="63" t="str"/>
      <c r="AD61" s="64" t="str"/>
    </row>
    <row r="62">
      <c r="A62" s="62" t="inlineStr">
        <is>
          <t>Marzo 2026</t>
        </is>
      </c>
      <c r="B62" s="63" t="n"/>
      <c r="C62" s="63" t="inlineStr">
        <is>
          <t>Instagram</t>
        </is>
      </c>
      <c r="D62" s="63" t="inlineStr">
        <is>
          <t>CONCURSO</t>
        </is>
      </c>
      <c r="E62" s="63" t="inlineStr">
        <is>
          <t>STORY</t>
        </is>
      </c>
      <c r="F62" s="63" t="inlineStr">
        <is>
          <t>maicao</t>
        </is>
      </c>
      <c r="G62" s="63" t="inlineStr">
        <is>
          <t>anuncio ganador samy</t>
        </is>
      </c>
      <c r="H62" s="63" t="str"/>
      <c r="I62" s="63" t="str"/>
      <c r="J62" s="63" t="str"/>
      <c r="K62" s="63" t="n">
        <v>3302</v>
      </c>
      <c r="L62" s="63" t="n">
        <v>2761</v>
      </c>
      <c r="M62" s="63" t="n">
        <v>28</v>
      </c>
      <c r="N62" s="63" t="n">
        <v>1</v>
      </c>
      <c r="O62" s="63" t="n">
        <v>2</v>
      </c>
      <c r="P62" s="63" t="n">
        <v>0</v>
      </c>
      <c r="Q62" s="63" t="n">
        <v>0</v>
      </c>
      <c r="R62" s="63" t="n">
        <v>35</v>
      </c>
      <c r="S62" s="63" t="n">
        <v>0</v>
      </c>
      <c r="T62" s="63" t="n">
        <v>66</v>
      </c>
      <c r="U62" s="63" t="n">
        <v>2.390438247</v>
      </c>
      <c r="V62" s="63" t="str"/>
      <c r="W62" s="63" t="n">
        <v>0</v>
      </c>
      <c r="X62" s="63" t="str"/>
      <c r="Y62" s="63" t="inlineStr">
        <is>
          <t>Sí</t>
        </is>
      </c>
      <c r="Z62" s="63" t="inlineStr">
        <is>
          <t>Sí</t>
        </is>
      </c>
      <c r="AA62" s="63" t="inlineStr">
        <is>
          <t>No</t>
        </is>
      </c>
      <c r="AB62" s="63" t="inlineStr">
        <is>
          <t>Sí</t>
        </is>
      </c>
      <c r="AC62" s="63" t="str"/>
      <c r="AD62" s="64" t="str"/>
    </row>
    <row r="63">
      <c r="A63" s="62" t="inlineStr">
        <is>
          <t>Marzo 2026</t>
        </is>
      </c>
      <c r="B63" s="63" t="n"/>
      <c r="C63" s="63" t="inlineStr">
        <is>
          <t>Instagram</t>
        </is>
      </c>
      <c r="D63" s="63" t="inlineStr">
        <is>
          <t>CAMPAÑA</t>
        </is>
      </c>
      <c r="E63" s="63" t="inlineStr">
        <is>
          <t>STORY</t>
        </is>
      </c>
      <c r="F63" s="63" t="inlineStr">
        <is>
          <t>maicao</t>
        </is>
      </c>
      <c r="G63" s="63" t="inlineStr">
        <is>
          <t>ofertas black</t>
        </is>
      </c>
      <c r="H63" s="63" t="str"/>
      <c r="I63" s="63" t="str"/>
      <c r="J63" s="63" t="str"/>
      <c r="K63" s="63" t="n">
        <v>2420</v>
      </c>
      <c r="L63" s="63" t="n">
        <v>2041</v>
      </c>
      <c r="M63" s="63" t="n">
        <v>14</v>
      </c>
      <c r="N63" s="63" t="n">
        <v>0</v>
      </c>
      <c r="O63" s="63" t="n">
        <v>1</v>
      </c>
      <c r="P63" s="63" t="n">
        <v>0</v>
      </c>
      <c r="Q63" s="63" t="n">
        <v>0</v>
      </c>
      <c r="R63" s="63" t="n">
        <v>0</v>
      </c>
      <c r="S63" s="63" t="n">
        <v>59</v>
      </c>
      <c r="T63" s="63" t="n">
        <v>74</v>
      </c>
      <c r="U63" s="63" t="n">
        <v>3.625673689</v>
      </c>
      <c r="V63" s="63" t="str"/>
      <c r="W63" s="63" t="n">
        <v>0</v>
      </c>
      <c r="X63" s="63" t="str"/>
      <c r="Y63" s="63" t="inlineStr">
        <is>
          <t>Sí</t>
        </is>
      </c>
      <c r="Z63" s="63" t="inlineStr">
        <is>
          <t>Sí</t>
        </is>
      </c>
      <c r="AA63" s="63" t="inlineStr">
        <is>
          <t>No</t>
        </is>
      </c>
      <c r="AB63" s="63" t="inlineStr">
        <is>
          <t>No</t>
        </is>
      </c>
      <c r="AC63" s="63" t="str"/>
      <c r="AD63" s="64" t="str"/>
    </row>
    <row r="64">
      <c r="A64" s="62" t="inlineStr">
        <is>
          <t>Marzo 2026</t>
        </is>
      </c>
      <c r="B64" s="63" t="n"/>
      <c r="C64" s="63" t="inlineStr">
        <is>
          <t>Instagram</t>
        </is>
      </c>
      <c r="D64" s="63" t="inlineStr">
        <is>
          <t>CONCURSO</t>
        </is>
      </c>
      <c r="E64" s="63" t="inlineStr">
        <is>
          <t>STORY</t>
        </is>
      </c>
      <c r="F64" s="63" t="inlineStr">
        <is>
          <t>maicao</t>
        </is>
      </c>
      <c r="G64" s="63" t="inlineStr">
        <is>
          <t>repost orgánico seguidora</t>
        </is>
      </c>
      <c r="H64" s="63" t="str"/>
      <c r="I64" s="63" t="str"/>
      <c r="J64" s="63" t="str"/>
      <c r="K64" s="63" t="n">
        <v>3258</v>
      </c>
      <c r="L64" s="63" t="n">
        <v>2196</v>
      </c>
      <c r="M64" s="63" t="n">
        <v>28</v>
      </c>
      <c r="N64" s="63" t="n">
        <v>1</v>
      </c>
      <c r="O64" s="63" t="n">
        <v>6</v>
      </c>
      <c r="P64" s="63" t="n">
        <v>0</v>
      </c>
      <c r="Q64" s="63" t="n">
        <v>0</v>
      </c>
      <c r="R64" s="63" t="n">
        <v>0</v>
      </c>
      <c r="S64" s="63" t="n">
        <v>0</v>
      </c>
      <c r="T64" s="63" t="n">
        <v>35</v>
      </c>
      <c r="U64" s="63" t="n">
        <v>1.593806922</v>
      </c>
      <c r="V64" s="63" t="str"/>
      <c r="W64" s="63" t="n">
        <v>0</v>
      </c>
      <c r="X64" s="63" t="str"/>
      <c r="Y64" s="63" t="inlineStr">
        <is>
          <t>Sí</t>
        </is>
      </c>
      <c r="Z64" s="63" t="inlineStr">
        <is>
          <t>Sí</t>
        </is>
      </c>
      <c r="AA64" s="63" t="inlineStr">
        <is>
          <t>No</t>
        </is>
      </c>
      <c r="AB64" s="63" t="inlineStr">
        <is>
          <t>No</t>
        </is>
      </c>
      <c r="AC64" s="63" t="str"/>
      <c r="AD64" s="64" t="str"/>
    </row>
    <row r="65">
      <c r="A65" s="62" t="inlineStr">
        <is>
          <t>Marzo 2026</t>
        </is>
      </c>
      <c r="B65" s="63" t="n"/>
      <c r="C65" s="63" t="inlineStr">
        <is>
          <t>Instagram</t>
        </is>
      </c>
      <c r="D65" s="63" t="inlineStr">
        <is>
          <t>SQUAD</t>
        </is>
      </c>
      <c r="E65" s="63" t="inlineStr">
        <is>
          <t>STORY</t>
        </is>
      </c>
      <c r="F65" s="63" t="inlineStr">
        <is>
          <t>maicao</t>
        </is>
      </c>
      <c r="G65" s="63" t="inlineStr">
        <is>
          <t xml:space="preserve">repost disley nivea bridgerton </t>
        </is>
      </c>
      <c r="H65" s="63" t="str"/>
      <c r="I65" s="63" t="str"/>
      <c r="J65" s="63" t="str"/>
      <c r="K65" s="63" t="n">
        <v>4031</v>
      </c>
      <c r="L65" s="63" t="n">
        <v>3407</v>
      </c>
      <c r="M65" s="63" t="n">
        <v>22</v>
      </c>
      <c r="N65" s="63" t="n">
        <v>2</v>
      </c>
      <c r="O65" s="63" t="n">
        <v>0</v>
      </c>
      <c r="P65" s="63" t="n">
        <v>0</v>
      </c>
      <c r="Q65" s="63" t="n">
        <v>0</v>
      </c>
      <c r="R65" s="63" t="n">
        <v>8</v>
      </c>
      <c r="S65" s="63" t="n">
        <v>0</v>
      </c>
      <c r="T65" s="63" t="n">
        <v>32</v>
      </c>
      <c r="U65" s="63" t="n">
        <v>0.9392427355</v>
      </c>
      <c r="V65" s="63" t="str"/>
      <c r="W65" s="63" t="n">
        <v>0</v>
      </c>
      <c r="X65" s="63" t="str"/>
      <c r="Y65" s="63" t="inlineStr">
        <is>
          <t>Sí</t>
        </is>
      </c>
      <c r="Z65" s="63" t="inlineStr">
        <is>
          <t>No</t>
        </is>
      </c>
      <c r="AA65" s="63" t="inlineStr">
        <is>
          <t>Sí</t>
        </is>
      </c>
      <c r="AB65" s="63" t="inlineStr">
        <is>
          <t>No</t>
        </is>
      </c>
      <c r="AC65" s="63" t="str"/>
      <c r="AD65" s="64" t="str"/>
    </row>
    <row r="66">
      <c r="A66" s="62" t="inlineStr">
        <is>
          <t>Marzo 2026</t>
        </is>
      </c>
      <c r="B66" s="63" t="n"/>
      <c r="C66" s="63" t="inlineStr">
        <is>
          <t>Instagram</t>
        </is>
      </c>
      <c r="D66" s="63" t="inlineStr">
        <is>
          <t>CAMPAÑA</t>
        </is>
      </c>
      <c r="E66" s="63" t="inlineStr">
        <is>
          <t>STORY</t>
        </is>
      </c>
      <c r="F66" s="63" t="inlineStr">
        <is>
          <t>maicao</t>
        </is>
      </c>
      <c r="G66" s="63" t="inlineStr">
        <is>
          <t>ofertas black</t>
        </is>
      </c>
      <c r="H66" s="63" t="str"/>
      <c r="I66" s="63" t="str"/>
      <c r="J66" s="63" t="str"/>
      <c r="K66" s="63" t="n">
        <v>3007</v>
      </c>
      <c r="L66" s="63" t="n">
        <v>2630</v>
      </c>
      <c r="M66" s="63" t="n">
        <v>11</v>
      </c>
      <c r="N66" s="63" t="n">
        <v>1</v>
      </c>
      <c r="O66" s="63" t="n">
        <v>1</v>
      </c>
      <c r="P66" s="63" t="n">
        <v>0</v>
      </c>
      <c r="Q66" s="63" t="n">
        <v>0</v>
      </c>
      <c r="R66" s="63" t="n">
        <v>0</v>
      </c>
      <c r="S66" s="63" t="n">
        <v>49</v>
      </c>
      <c r="T66" s="63" t="n">
        <v>62</v>
      </c>
      <c r="U66" s="63" t="n">
        <v>2.357414449</v>
      </c>
      <c r="V66" s="63" t="str"/>
      <c r="W66" s="63" t="n">
        <v>0</v>
      </c>
      <c r="X66" s="63" t="str"/>
      <c r="Y66" s="63" t="inlineStr">
        <is>
          <t>Sí</t>
        </is>
      </c>
      <c r="Z66" s="63" t="inlineStr">
        <is>
          <t>Sí</t>
        </is>
      </c>
      <c r="AA66" s="63" t="inlineStr">
        <is>
          <t>No</t>
        </is>
      </c>
      <c r="AB66" s="63" t="inlineStr">
        <is>
          <t>No</t>
        </is>
      </c>
      <c r="AC66" s="63" t="str"/>
      <c r="AD66" s="64" t="str"/>
    </row>
    <row r="67">
      <c r="A67" s="62" t="inlineStr">
        <is>
          <t>Marzo 2026</t>
        </is>
      </c>
      <c r="B67" s="63" t="n"/>
      <c r="C67" s="63" t="inlineStr">
        <is>
          <t>Instagram</t>
        </is>
      </c>
      <c r="D67" s="63" t="inlineStr">
        <is>
          <t>SAMY</t>
        </is>
      </c>
      <c r="E67" s="63" t="inlineStr">
        <is>
          <t>STORY</t>
        </is>
      </c>
      <c r="F67" s="63" t="inlineStr">
        <is>
          <t>maicao</t>
        </is>
      </c>
      <c r="G67" s="63" t="inlineStr">
        <is>
          <t>repost velybeauty</t>
        </is>
      </c>
      <c r="H67" s="63" t="str"/>
      <c r="I67" s="63" t="str"/>
      <c r="J67" s="63" t="str"/>
      <c r="K67" s="63" t="n">
        <v>3226</v>
      </c>
      <c r="L67" s="63" t="n">
        <v>2892</v>
      </c>
      <c r="M67" s="63" t="n">
        <v>15</v>
      </c>
      <c r="N67" s="63" t="n">
        <v>0</v>
      </c>
      <c r="O67" s="63" t="n">
        <v>0</v>
      </c>
      <c r="P67" s="63" t="n">
        <v>0</v>
      </c>
      <c r="Q67" s="63" t="n">
        <v>0</v>
      </c>
      <c r="R67" s="63" t="n">
        <v>9</v>
      </c>
      <c r="S67" s="63" t="n">
        <v>0</v>
      </c>
      <c r="T67" s="63" t="n">
        <v>24</v>
      </c>
      <c r="U67" s="63" t="n">
        <v>0.8298755187</v>
      </c>
      <c r="V67" s="63" t="str"/>
      <c r="W67" s="63" t="n">
        <v>0</v>
      </c>
      <c r="X67" s="63" t="str"/>
      <c r="Y67" s="63" t="inlineStr">
        <is>
          <t>Sí</t>
        </is>
      </c>
      <c r="Z67" s="63" t="inlineStr">
        <is>
          <t>Sí</t>
        </is>
      </c>
      <c r="AA67" s="63" t="inlineStr">
        <is>
          <t>No</t>
        </is>
      </c>
      <c r="AB67" s="63" t="inlineStr">
        <is>
          <t>No</t>
        </is>
      </c>
      <c r="AC67" s="63" t="str"/>
      <c r="AD67" s="64" t="str"/>
    </row>
    <row r="68">
      <c r="A68" s="62" t="inlineStr">
        <is>
          <t>Marzo 2026</t>
        </is>
      </c>
      <c r="B68" s="63" t="n"/>
      <c r="C68" s="63" t="inlineStr">
        <is>
          <t>Instagram</t>
        </is>
      </c>
      <c r="D68" s="63" t="inlineStr">
        <is>
          <t>CAMPAÑA</t>
        </is>
      </c>
      <c r="E68" s="63" t="inlineStr">
        <is>
          <t>STORY</t>
        </is>
      </c>
      <c r="F68" s="63" t="inlineStr">
        <is>
          <t>maicao</t>
        </is>
      </c>
      <c r="G68" s="63" t="inlineStr">
        <is>
          <t>ofertas black</t>
        </is>
      </c>
      <c r="H68" s="63" t="str"/>
      <c r="I68" s="63" t="str"/>
      <c r="J68" s="63" t="str"/>
      <c r="K68" s="63" t="n">
        <v>2897</v>
      </c>
      <c r="L68" s="63" t="n">
        <v>2497</v>
      </c>
      <c r="M68" s="63" t="n">
        <v>8</v>
      </c>
      <c r="N68" s="63" t="n">
        <v>0</v>
      </c>
      <c r="O68" s="63" t="n">
        <v>2</v>
      </c>
      <c r="P68" s="63" t="n">
        <v>0</v>
      </c>
      <c r="Q68" s="63" t="n">
        <v>0</v>
      </c>
      <c r="R68" s="63" t="n">
        <v>0</v>
      </c>
      <c r="S68" s="63" t="n">
        <v>66</v>
      </c>
      <c r="T68" s="63" t="n">
        <v>76</v>
      </c>
      <c r="U68" s="63" t="n">
        <v>3.043652383</v>
      </c>
      <c r="V68" s="63" t="str"/>
      <c r="W68" s="63" t="n">
        <v>0</v>
      </c>
      <c r="X68" s="63" t="str"/>
      <c r="Y68" s="63" t="inlineStr">
        <is>
          <t>Sí</t>
        </is>
      </c>
      <c r="Z68" s="63" t="inlineStr">
        <is>
          <t>Sí</t>
        </is>
      </c>
      <c r="AA68" s="63" t="inlineStr">
        <is>
          <t>No</t>
        </is>
      </c>
      <c r="AB68" s="63" t="inlineStr">
        <is>
          <t>No</t>
        </is>
      </c>
      <c r="AC68" s="63" t="str"/>
      <c r="AD68" s="64" t="str"/>
    </row>
    <row r="69">
      <c r="A69" s="62" t="inlineStr">
        <is>
          <t>Marzo 2026</t>
        </is>
      </c>
      <c r="B69" s="63" t="n"/>
      <c r="C69" s="63" t="inlineStr">
        <is>
          <t>Instagram</t>
        </is>
      </c>
      <c r="D69" s="63" t="inlineStr">
        <is>
          <t>EGC</t>
        </is>
      </c>
      <c r="E69" s="63" t="inlineStr">
        <is>
          <t>STORY</t>
        </is>
      </c>
      <c r="F69" s="63" t="inlineStr">
        <is>
          <t>maicao</t>
        </is>
      </c>
      <c r="G69" s="63" t="inlineStr">
        <is>
          <t>ofertas black</t>
        </is>
      </c>
      <c r="H69" s="63" t="str"/>
      <c r="I69" s="63" t="str"/>
      <c r="J69" s="63" t="str"/>
      <c r="K69" s="63" t="n">
        <v>3075</v>
      </c>
      <c r="L69" s="63" t="n">
        <v>2616</v>
      </c>
      <c r="M69" s="63" t="n">
        <v>14</v>
      </c>
      <c r="N69" s="63" t="n">
        <v>1</v>
      </c>
      <c r="O69" s="63" t="n">
        <v>1</v>
      </c>
      <c r="P69" s="63" t="n">
        <v>0</v>
      </c>
      <c r="Q69" s="63" t="n">
        <v>0</v>
      </c>
      <c r="R69" s="63" t="n">
        <v>0</v>
      </c>
      <c r="S69" s="63" t="n">
        <v>72</v>
      </c>
      <c r="T69" s="63" t="n">
        <v>88</v>
      </c>
      <c r="U69" s="63" t="n">
        <v>3.363914373</v>
      </c>
      <c r="V69" s="63" t="str"/>
      <c r="W69" s="63" t="n">
        <v>0</v>
      </c>
      <c r="X69" s="63" t="str"/>
      <c r="Y69" s="63" t="inlineStr">
        <is>
          <t>Sí</t>
        </is>
      </c>
      <c r="Z69" s="63" t="inlineStr">
        <is>
          <t>Sí</t>
        </is>
      </c>
      <c r="AA69" s="63" t="inlineStr">
        <is>
          <t>No</t>
        </is>
      </c>
      <c r="AB69" s="63" t="inlineStr">
        <is>
          <t>No</t>
        </is>
      </c>
      <c r="AC69" s="63" t="str"/>
      <c r="AD69" s="64" t="str"/>
    </row>
    <row r="70">
      <c r="A70" s="62" t="inlineStr">
        <is>
          <t>Marzo 2026</t>
        </is>
      </c>
      <c r="B70" s="63" t="n"/>
      <c r="C70" s="63" t="inlineStr">
        <is>
          <t>Instagram</t>
        </is>
      </c>
      <c r="D70" s="63" t="inlineStr">
        <is>
          <t>RUTA</t>
        </is>
      </c>
      <c r="E70" s="63" t="inlineStr">
        <is>
          <t>STORY</t>
        </is>
      </c>
      <c r="F70" s="63" t="inlineStr">
        <is>
          <t>maicao</t>
        </is>
      </c>
      <c r="G70" s="63" t="inlineStr">
        <is>
          <t>ofertas black</t>
        </is>
      </c>
      <c r="H70" s="63" t="str"/>
      <c r="I70" s="63" t="str"/>
      <c r="J70" s="63" t="str"/>
      <c r="K70" s="63" t="n">
        <v>2856</v>
      </c>
      <c r="L70" s="63" t="n">
        <v>2476</v>
      </c>
      <c r="M70" s="63" t="n">
        <v>13</v>
      </c>
      <c r="N70" s="63" t="n">
        <v>1</v>
      </c>
      <c r="O70" s="63" t="n">
        <v>0</v>
      </c>
      <c r="P70" s="63" t="n">
        <v>0</v>
      </c>
      <c r="Q70" s="63" t="n">
        <v>0</v>
      </c>
      <c r="R70" s="63" t="n">
        <v>0</v>
      </c>
      <c r="S70" s="63" t="n">
        <v>103</v>
      </c>
      <c r="T70" s="63" t="n">
        <v>117</v>
      </c>
      <c r="U70" s="63" t="n">
        <v>4.725363489</v>
      </c>
      <c r="V70" s="63" t="str"/>
      <c r="W70" s="63" t="n">
        <v>0</v>
      </c>
      <c r="X70" s="63" t="str"/>
      <c r="Y70" s="63" t="inlineStr">
        <is>
          <t>Sí</t>
        </is>
      </c>
      <c r="Z70" s="63" t="inlineStr">
        <is>
          <t>Sí</t>
        </is>
      </c>
      <c r="AA70" s="63" t="inlineStr">
        <is>
          <t>No</t>
        </is>
      </c>
      <c r="AB70" s="63" t="inlineStr">
        <is>
          <t>No</t>
        </is>
      </c>
      <c r="AC70" s="63" t="str"/>
      <c r="AD70" s="64" t="str"/>
    </row>
    <row r="71">
      <c r="A71" s="62" t="inlineStr">
        <is>
          <t>Marzo 2026</t>
        </is>
      </c>
      <c r="B71" s="63" t="n"/>
      <c r="C71" s="63" t="inlineStr">
        <is>
          <t>Instagram</t>
        </is>
      </c>
      <c r="D71" s="63" t="inlineStr">
        <is>
          <t>CAMPAÑA</t>
        </is>
      </c>
      <c r="E71" s="63" t="inlineStr">
        <is>
          <t>STORY</t>
        </is>
      </c>
      <c r="F71" s="63" t="inlineStr">
        <is>
          <t>maicao</t>
        </is>
      </c>
      <c r="G71" s="63" t="inlineStr">
        <is>
          <t>ofertas black</t>
        </is>
      </c>
      <c r="H71" s="63" t="str"/>
      <c r="I71" s="63" t="str"/>
      <c r="J71" s="63" t="str"/>
      <c r="K71" s="63" t="n">
        <v>2423</v>
      </c>
      <c r="L71" s="63" t="n">
        <v>1977</v>
      </c>
      <c r="M71" s="63" t="n">
        <v>7</v>
      </c>
      <c r="N71" s="63" t="n">
        <v>0</v>
      </c>
      <c r="O71" s="63" t="n">
        <v>0</v>
      </c>
      <c r="P71" s="63" t="n">
        <v>0</v>
      </c>
      <c r="Q71" s="63" t="n">
        <v>0</v>
      </c>
      <c r="R71" s="63" t="n">
        <v>0</v>
      </c>
      <c r="S71" s="63" t="n">
        <v>80</v>
      </c>
      <c r="T71" s="63" t="n">
        <v>87</v>
      </c>
      <c r="U71" s="63" t="n">
        <v>4.40060698</v>
      </c>
      <c r="V71" s="63" t="str"/>
      <c r="W71" s="63" t="n">
        <v>0</v>
      </c>
      <c r="X71" s="63" t="str"/>
      <c r="Y71" s="63" t="inlineStr">
        <is>
          <t>Sí</t>
        </is>
      </c>
      <c r="Z71" s="63" t="inlineStr">
        <is>
          <t>Sí</t>
        </is>
      </c>
      <c r="AA71" s="63" t="inlineStr">
        <is>
          <t>No</t>
        </is>
      </c>
      <c r="AB71" s="63" t="inlineStr">
        <is>
          <t>No</t>
        </is>
      </c>
      <c r="AC71" s="63" t="str"/>
      <c r="AD71" s="64" t="str"/>
    </row>
    <row r="72">
      <c r="A72" s="62" t="inlineStr">
        <is>
          <t>Marzo 2026</t>
        </is>
      </c>
      <c r="B72" s="63" t="n"/>
      <c r="C72" s="63" t="inlineStr">
        <is>
          <t>Instagram</t>
        </is>
      </c>
      <c r="D72" s="63" t="inlineStr">
        <is>
          <t>CONCURSO</t>
        </is>
      </c>
      <c r="E72" s="63" t="inlineStr">
        <is>
          <t>STORY</t>
        </is>
      </c>
      <c r="F72" s="63" t="inlineStr">
        <is>
          <t>maicao</t>
        </is>
      </c>
      <c r="G72" s="63" t="inlineStr">
        <is>
          <t>teaser sabrina carpenter</t>
        </is>
      </c>
      <c r="H72" s="63" t="str"/>
      <c r="I72" s="63" t="str"/>
      <c r="J72" s="63" t="str"/>
      <c r="K72" s="63" t="n">
        <v>2232</v>
      </c>
      <c r="L72" s="63" t="n">
        <v>1885</v>
      </c>
      <c r="M72" s="63" t="n">
        <v>20</v>
      </c>
      <c r="N72" s="63" t="n">
        <v>0</v>
      </c>
      <c r="O72" s="63" t="n">
        <v>1</v>
      </c>
      <c r="P72" s="63" t="n">
        <v>0</v>
      </c>
      <c r="Q72" s="63" t="n">
        <v>0</v>
      </c>
      <c r="R72" s="63" t="n">
        <v>0</v>
      </c>
      <c r="S72" s="63" t="n">
        <v>7</v>
      </c>
      <c r="T72" s="63" t="n">
        <v>28</v>
      </c>
      <c r="U72" s="63" t="n">
        <v>1.485411141</v>
      </c>
      <c r="V72" s="63" t="str"/>
      <c r="W72" s="63" t="n">
        <v>0</v>
      </c>
      <c r="X72" s="63" t="str"/>
      <c r="Y72" s="63" t="inlineStr">
        <is>
          <t>Sí</t>
        </is>
      </c>
      <c r="Z72" s="63" t="inlineStr">
        <is>
          <t>Sí</t>
        </is>
      </c>
      <c r="AA72" s="63" t="inlineStr">
        <is>
          <t>No</t>
        </is>
      </c>
      <c r="AB72" s="63" t="inlineStr">
        <is>
          <t>No</t>
        </is>
      </c>
      <c r="AC72" s="63" t="str"/>
      <c r="AD72" s="64" t="str"/>
    </row>
    <row r="73">
      <c r="A73" s="62" t="inlineStr">
        <is>
          <t>Marzo 2026</t>
        </is>
      </c>
      <c r="B73" s="63" t="n"/>
      <c r="C73" s="63" t="inlineStr">
        <is>
          <t>Instagram</t>
        </is>
      </c>
      <c r="D73" s="63" t="inlineStr">
        <is>
          <t>UGC</t>
        </is>
      </c>
      <c r="E73" s="63" t="inlineStr">
        <is>
          <t>CARRUSEL</t>
        </is>
      </c>
      <c r="F73" s="63" t="inlineStr">
        <is>
          <t>maicao</t>
        </is>
      </c>
      <c r="G73" s="63" t="inlineStr">
        <is>
          <t>repost ugc lanzamientos marzo</t>
        </is>
      </c>
      <c r="H73" s="63" t="str"/>
      <c r="I73" s="63" t="str"/>
      <c r="J73" s="63" t="str"/>
      <c r="K73" s="63" t="n">
        <v>526963</v>
      </c>
      <c r="L73" s="63" t="n">
        <v>220002</v>
      </c>
      <c r="M73" s="63" t="n">
        <v>209</v>
      </c>
      <c r="N73" s="63" t="n">
        <v>6</v>
      </c>
      <c r="O73" s="63" t="n">
        <v>16</v>
      </c>
      <c r="P73" s="63" t="n">
        <v>6</v>
      </c>
      <c r="Q73" s="63" t="n">
        <v>37</v>
      </c>
      <c r="R73" s="63" t="n">
        <v>0</v>
      </c>
      <c r="S73" s="63" t="n">
        <v>0</v>
      </c>
      <c r="T73" s="63" t="n">
        <v>274</v>
      </c>
      <c r="U73" s="63" t="n">
        <v>0.1245443223</v>
      </c>
      <c r="V73" s="63" t="str"/>
      <c r="W73" s="63" t="n">
        <v>0</v>
      </c>
      <c r="X73" s="63" t="str"/>
      <c r="Y73" s="63" t="inlineStr">
        <is>
          <t>Sí</t>
        </is>
      </c>
      <c r="Z73" s="63" t="inlineStr">
        <is>
          <t>Sí</t>
        </is>
      </c>
      <c r="AA73" s="63" t="inlineStr">
        <is>
          <t>No</t>
        </is>
      </c>
      <c r="AB73" s="63" t="inlineStr">
        <is>
          <t>No</t>
        </is>
      </c>
      <c r="AC73" s="63" t="str"/>
      <c r="AD73" s="64" t="str"/>
    </row>
    <row r="74">
      <c r="A74" s="62" t="inlineStr">
        <is>
          <t>Marzo 2026</t>
        </is>
      </c>
      <c r="B74" s="63" t="n"/>
      <c r="C74" s="63" t="inlineStr">
        <is>
          <t>Instagram</t>
        </is>
      </c>
      <c r="D74" s="63" t="inlineStr">
        <is>
          <t>EXTRA</t>
        </is>
      </c>
      <c r="E74" s="63" t="inlineStr">
        <is>
          <t>REEL</t>
        </is>
      </c>
      <c r="F74" s="63" t="inlineStr">
        <is>
          <t>maicao</t>
        </is>
      </c>
      <c r="G74" s="63" t="inlineStr">
        <is>
          <t>repost bienvenida check</t>
        </is>
      </c>
      <c r="H74" s="63" t="str"/>
      <c r="I74" s="63" t="str"/>
      <c r="J74" s="63" t="str"/>
      <c r="K74" s="63" t="n">
        <v>756988</v>
      </c>
      <c r="L74" s="63" t="n">
        <v>462461</v>
      </c>
      <c r="M74" s="63" t="n">
        <v>7781</v>
      </c>
      <c r="N74" s="63" t="n">
        <v>397</v>
      </c>
      <c r="O74" s="63" t="n">
        <v>305</v>
      </c>
      <c r="P74" s="63" t="n">
        <v>172</v>
      </c>
      <c r="Q74" s="63" t="n">
        <v>121</v>
      </c>
      <c r="R74" s="63" t="n">
        <v>0</v>
      </c>
      <c r="S74" s="63" t="n">
        <v>0</v>
      </c>
      <c r="T74" s="63" t="n">
        <v>8776</v>
      </c>
      <c r="U74" s="63" t="n">
        <v>1.897673534</v>
      </c>
      <c r="V74" s="63" t="str"/>
      <c r="W74" s="63" t="n">
        <v>0</v>
      </c>
      <c r="X74" s="63" t="str"/>
      <c r="Y74" s="63" t="inlineStr">
        <is>
          <t>Sí</t>
        </is>
      </c>
      <c r="Z74" s="63" t="inlineStr">
        <is>
          <t>Sí</t>
        </is>
      </c>
      <c r="AA74" s="63" t="inlineStr">
        <is>
          <t>No</t>
        </is>
      </c>
      <c r="AB74" s="63" t="inlineStr">
        <is>
          <t>No</t>
        </is>
      </c>
      <c r="AC74" s="63" t="str"/>
      <c r="AD74" s="64" t="str"/>
    </row>
    <row r="75">
      <c r="A75" s="62" t="inlineStr">
        <is>
          <t>Marzo 2026</t>
        </is>
      </c>
      <c r="B75" s="63" t="n"/>
      <c r="C75" s="63" t="inlineStr">
        <is>
          <t>Instagram</t>
        </is>
      </c>
      <c r="D75" s="63" t="inlineStr">
        <is>
          <t>CAMPAÑA COLOR CRUSH</t>
        </is>
      </c>
      <c r="E75" s="63" t="inlineStr">
        <is>
          <t>CARRUSEL</t>
        </is>
      </c>
      <c r="F75" s="63" t="inlineStr">
        <is>
          <t>maicao</t>
        </is>
      </c>
      <c r="G75" s="63" t="inlineStr">
        <is>
          <t>palipalomaful color crush</t>
        </is>
      </c>
      <c r="H75" s="63" t="str"/>
      <c r="I75" s="63" t="str"/>
      <c r="J75" s="63" t="str"/>
      <c r="K75" s="63" t="n">
        <v>66630</v>
      </c>
      <c r="L75" s="63" t="n">
        <v>21719</v>
      </c>
      <c r="M75" s="63" t="n">
        <v>15</v>
      </c>
      <c r="N75" s="63" t="n">
        <v>13</v>
      </c>
      <c r="O75" s="63" t="n">
        <v>11</v>
      </c>
      <c r="P75" s="63" t="n">
        <v>10</v>
      </c>
      <c r="Q75" s="63" t="n">
        <v>13</v>
      </c>
      <c r="R75" s="63" t="n">
        <v>0</v>
      </c>
      <c r="S75" s="63" t="n">
        <v>0</v>
      </c>
      <c r="T75" s="63" t="n">
        <v>62</v>
      </c>
      <c r="U75" s="63" t="n">
        <v>0.28546434</v>
      </c>
      <c r="V75" s="63" t="str"/>
      <c r="W75" s="63" t="n">
        <v>0</v>
      </c>
      <c r="X75" s="63" t="str"/>
      <c r="Y75" s="63" t="inlineStr">
        <is>
          <t>Sí</t>
        </is>
      </c>
      <c r="Z75" s="63" t="inlineStr">
        <is>
          <t>Sí</t>
        </is>
      </c>
      <c r="AA75" s="63" t="inlineStr">
        <is>
          <t>No</t>
        </is>
      </c>
      <c r="AB75" s="63" t="inlineStr">
        <is>
          <t>No</t>
        </is>
      </c>
      <c r="AC75" s="63" t="str"/>
      <c r="AD75" s="64" t="str"/>
    </row>
    <row r="76">
      <c r="A76" s="62" t="inlineStr">
        <is>
          <t>Marzo 2026</t>
        </is>
      </c>
      <c r="B76" s="63" t="n"/>
      <c r="C76" s="63" t="inlineStr">
        <is>
          <t>Instagram</t>
        </is>
      </c>
      <c r="D76" s="63" t="inlineStr">
        <is>
          <t>CAMPAÑA</t>
        </is>
      </c>
      <c r="E76" s="63" t="inlineStr">
        <is>
          <t>REEL</t>
        </is>
      </c>
      <c r="F76" s="63" t="inlineStr">
        <is>
          <t>maicao</t>
        </is>
      </c>
      <c r="G76" s="63" t="inlineStr">
        <is>
          <t>recap bienvenida squad y consejeras</t>
        </is>
      </c>
      <c r="H76" s="63" t="str"/>
      <c r="I76" s="63" t="str"/>
      <c r="J76" s="63" t="str"/>
      <c r="K76" s="63" t="n">
        <v>11209</v>
      </c>
      <c r="L76" s="63" t="n">
        <v>6701</v>
      </c>
      <c r="M76" s="63" t="n">
        <v>139</v>
      </c>
      <c r="N76" s="63" t="n">
        <v>22</v>
      </c>
      <c r="O76" s="63" t="n">
        <v>8</v>
      </c>
      <c r="P76" s="63" t="n">
        <v>10</v>
      </c>
      <c r="Q76" s="63" t="n">
        <v>1</v>
      </c>
      <c r="R76" s="63" t="n">
        <v>0</v>
      </c>
      <c r="S76" s="63" t="n">
        <v>0</v>
      </c>
      <c r="T76" s="63" t="n">
        <v>180</v>
      </c>
      <c r="U76" s="63" t="n">
        <v>2.686166244</v>
      </c>
      <c r="V76" s="63" t="str"/>
      <c r="W76" s="63" t="n">
        <v>0</v>
      </c>
      <c r="X76" s="63" t="str"/>
      <c r="Y76" s="63" t="inlineStr">
        <is>
          <t>Sí</t>
        </is>
      </c>
      <c r="Z76" s="63" t="inlineStr">
        <is>
          <t>Sí</t>
        </is>
      </c>
      <c r="AA76" s="63" t="inlineStr">
        <is>
          <t>No</t>
        </is>
      </c>
      <c r="AB76" s="63" t="inlineStr">
        <is>
          <t>No</t>
        </is>
      </c>
      <c r="AC76" s="63" t="str"/>
      <c r="AD76" s="64" t="str"/>
    </row>
    <row r="77">
      <c r="A77" s="62" t="inlineStr">
        <is>
          <t>Marzo 2026</t>
        </is>
      </c>
      <c r="B77" s="63" t="n"/>
      <c r="C77" s="63" t="inlineStr">
        <is>
          <t>Instagram</t>
        </is>
      </c>
      <c r="D77" s="63" t="inlineStr">
        <is>
          <t>CAMPAÑA COLOR CRUSH</t>
        </is>
      </c>
      <c r="E77" s="63" t="inlineStr">
        <is>
          <t>REEL</t>
        </is>
      </c>
      <c r="F77" s="63" t="inlineStr">
        <is>
          <t>maicao</t>
        </is>
      </c>
      <c r="G77" s="63" t="inlineStr">
        <is>
          <t>sofia mezzano color crush</t>
        </is>
      </c>
      <c r="H77" s="63" t="str"/>
      <c r="I77" s="63" t="str"/>
      <c r="J77" s="63" t="str"/>
      <c r="K77" s="63" t="n">
        <v>41826</v>
      </c>
      <c r="L77" s="63" t="n">
        <v>22880</v>
      </c>
      <c r="M77" s="63" t="n">
        <v>942</v>
      </c>
      <c r="N77" s="63" t="n">
        <v>174</v>
      </c>
      <c r="O77" s="63" t="n">
        <v>4</v>
      </c>
      <c r="P77" s="63" t="n">
        <v>23</v>
      </c>
      <c r="Q77" s="63" t="n">
        <v>40</v>
      </c>
      <c r="R77" s="63" t="n">
        <v>0</v>
      </c>
      <c r="S77" s="63" t="n">
        <v>0</v>
      </c>
      <c r="T77" s="63" t="n">
        <v>1183</v>
      </c>
      <c r="U77" s="63" t="n">
        <v>5.170454545</v>
      </c>
      <c r="V77" s="63" t="str"/>
      <c r="W77" s="63" t="n">
        <v>0</v>
      </c>
      <c r="X77" s="63" t="str"/>
      <c r="Y77" s="63" t="inlineStr">
        <is>
          <t>Sí</t>
        </is>
      </c>
      <c r="Z77" s="63" t="inlineStr">
        <is>
          <t>Sí</t>
        </is>
      </c>
      <c r="AA77" s="63" t="inlineStr">
        <is>
          <t>No</t>
        </is>
      </c>
      <c r="AB77" s="63" t="inlineStr">
        <is>
          <t>No</t>
        </is>
      </c>
      <c r="AC77" s="63" t="str"/>
      <c r="AD77" s="64" t="str"/>
    </row>
    <row r="78">
      <c r="A78" s="62" t="inlineStr">
        <is>
          <t>Marzo 2026</t>
        </is>
      </c>
      <c r="B78" s="63" t="n"/>
      <c r="C78" s="63" t="inlineStr">
        <is>
          <t>Instagram</t>
        </is>
      </c>
      <c r="D78" s="63" t="inlineStr">
        <is>
          <t>RUTA</t>
        </is>
      </c>
      <c r="E78" s="63" t="inlineStr">
        <is>
          <t>REEL</t>
        </is>
      </c>
      <c r="F78" s="63" t="inlineStr">
        <is>
          <t>maicao</t>
        </is>
      </c>
      <c r="G78" s="63" t="inlineStr">
        <is>
          <t>ruta a qué hora se levantan</t>
        </is>
      </c>
      <c r="H78" s="63" t="str"/>
      <c r="I78" s="63" t="str"/>
      <c r="J78" s="63" t="inlineStr">
        <is>
          <t>Alcance</t>
        </is>
      </c>
      <c r="K78" s="63" t="n">
        <v>533805</v>
      </c>
      <c r="L78" s="63" t="n">
        <v>359691</v>
      </c>
      <c r="M78" s="63" t="n">
        <v>400</v>
      </c>
      <c r="N78" s="63" t="n">
        <v>17</v>
      </c>
      <c r="O78" s="63" t="n">
        <v>66</v>
      </c>
      <c r="P78" s="63" t="n">
        <v>17</v>
      </c>
      <c r="Q78" s="63" t="n">
        <v>10</v>
      </c>
      <c r="R78" s="63" t="n">
        <v>0</v>
      </c>
      <c r="S78" s="63" t="n">
        <v>0</v>
      </c>
      <c r="T78" s="63" t="n">
        <v>510</v>
      </c>
      <c r="U78" s="63" t="n">
        <v>0.1417883683</v>
      </c>
      <c r="V78" s="63" t="inlineStr">
        <is>
          <t>Sí</t>
        </is>
      </c>
      <c r="W78" s="63" t="n">
        <v>200000</v>
      </c>
      <c r="X78" s="63" t="n">
        <v>7</v>
      </c>
      <c r="Y78" s="63" t="inlineStr">
        <is>
          <t>Sí</t>
        </is>
      </c>
      <c r="Z78" s="63" t="inlineStr">
        <is>
          <t>Sí</t>
        </is>
      </c>
      <c r="AA78" s="63" t="inlineStr">
        <is>
          <t>No</t>
        </is>
      </c>
      <c r="AB78" s="63" t="inlineStr">
        <is>
          <t>No</t>
        </is>
      </c>
      <c r="AC78" s="63" t="str"/>
      <c r="AD78" s="64" t="str"/>
    </row>
    <row r="79">
      <c r="A79" s="62" t="inlineStr">
        <is>
          <t>Marzo 2026</t>
        </is>
      </c>
      <c r="B79" s="63" t="n"/>
      <c r="C79" s="63" t="inlineStr">
        <is>
          <t>Instagram</t>
        </is>
      </c>
      <c r="D79" s="63" t="inlineStr">
        <is>
          <t>UGC</t>
        </is>
      </c>
      <c r="E79" s="63" t="inlineStr">
        <is>
          <t>REEL</t>
        </is>
      </c>
      <c r="F79" s="63" t="inlineStr">
        <is>
          <t>maicao</t>
        </is>
      </c>
      <c r="G79" s="63" t="inlineStr">
        <is>
          <t>repost makeup inspo para la u</t>
        </is>
      </c>
      <c r="H79" s="63" t="str"/>
      <c r="I79" s="63" t="str"/>
      <c r="J79" s="63" t="inlineStr">
        <is>
          <t>Alcance</t>
        </is>
      </c>
      <c r="K79" s="63" t="n">
        <v>1042328</v>
      </c>
      <c r="L79" s="63" t="n">
        <v>543425</v>
      </c>
      <c r="M79" s="63" t="n">
        <v>980</v>
      </c>
      <c r="N79" s="63" t="n">
        <v>3</v>
      </c>
      <c r="O79" s="63" t="n">
        <v>28</v>
      </c>
      <c r="P79" s="63" t="n">
        <v>12</v>
      </c>
      <c r="Q79" s="63" t="n">
        <v>71</v>
      </c>
      <c r="R79" s="63" t="n">
        <v>0</v>
      </c>
      <c r="S79" s="63" t="n">
        <v>0</v>
      </c>
      <c r="T79" s="63" t="n">
        <v>1094</v>
      </c>
      <c r="U79" s="63" t="n">
        <v>0.2013157289</v>
      </c>
      <c r="V79" s="63" t="inlineStr">
        <is>
          <t>Sí</t>
        </is>
      </c>
      <c r="W79" s="63" t="n">
        <v>200000</v>
      </c>
      <c r="X79" s="63" t="n">
        <v>7</v>
      </c>
      <c r="Y79" s="63" t="inlineStr">
        <is>
          <t>Sí</t>
        </is>
      </c>
      <c r="Z79" s="63" t="inlineStr">
        <is>
          <t>Sí</t>
        </is>
      </c>
      <c r="AA79" s="63" t="inlineStr">
        <is>
          <t>No</t>
        </is>
      </c>
      <c r="AB79" s="63" t="inlineStr">
        <is>
          <t>No</t>
        </is>
      </c>
      <c r="AC79" s="63" t="str"/>
      <c r="AD79" s="64" t="str"/>
    </row>
    <row r="80">
      <c r="A80" s="62" t="inlineStr">
        <is>
          <t>Marzo 2026</t>
        </is>
      </c>
      <c r="B80" s="63" t="n"/>
      <c r="C80" s="63" t="inlineStr">
        <is>
          <t>Instagram</t>
        </is>
      </c>
      <c r="D80" s="63" t="inlineStr">
        <is>
          <t>SAMY</t>
        </is>
      </c>
      <c r="E80" s="63" t="inlineStr">
        <is>
          <t>REEL</t>
        </is>
      </c>
      <c r="F80" s="63" t="inlineStr">
        <is>
          <t>maicao</t>
        </is>
      </c>
      <c r="G80" s="63" t="inlineStr">
        <is>
          <t>noeaylen mi día en la u</t>
        </is>
      </c>
      <c r="H80" s="63" t="str"/>
      <c r="I80" s="63" t="str"/>
      <c r="J80" s="63" t="inlineStr">
        <is>
          <t>Alcance</t>
        </is>
      </c>
      <c r="K80" s="63" t="n">
        <v>9911</v>
      </c>
      <c r="L80" s="63" t="n">
        <v>6569</v>
      </c>
      <c r="M80" s="63" t="n">
        <v>178</v>
      </c>
      <c r="N80" s="63" t="n">
        <v>26</v>
      </c>
      <c r="O80" s="63" t="n">
        <v>5</v>
      </c>
      <c r="P80" s="63" t="n">
        <v>6</v>
      </c>
      <c r="Q80" s="63" t="n">
        <v>23</v>
      </c>
      <c r="R80" s="63" t="n">
        <v>0</v>
      </c>
      <c r="S80" s="63" t="n">
        <v>0</v>
      </c>
      <c r="T80" s="63" t="n">
        <v>238</v>
      </c>
      <c r="U80" s="63" t="n">
        <v>3.623078094</v>
      </c>
      <c r="V80" s="63" t="inlineStr">
        <is>
          <t>Sí</t>
        </is>
      </c>
      <c r="W80" s="63" t="n">
        <v>200000</v>
      </c>
      <c r="X80" s="63" t="n">
        <v>5</v>
      </c>
      <c r="Y80" s="63" t="inlineStr">
        <is>
          <t>Sí</t>
        </is>
      </c>
      <c r="Z80" s="63" t="inlineStr">
        <is>
          <t>Sí</t>
        </is>
      </c>
      <c r="AA80" s="63" t="inlineStr">
        <is>
          <t>No</t>
        </is>
      </c>
      <c r="AB80" s="63" t="inlineStr">
        <is>
          <t>No</t>
        </is>
      </c>
      <c r="AC80" s="63" t="str"/>
      <c r="AD80" s="64" t="str"/>
    </row>
    <row r="81">
      <c r="A81" s="62" t="inlineStr">
        <is>
          <t>Marzo 2026</t>
        </is>
      </c>
      <c r="B81" s="63" t="n"/>
      <c r="C81" s="63" t="inlineStr">
        <is>
          <t>Instagram</t>
        </is>
      </c>
      <c r="D81" s="63" t="inlineStr">
        <is>
          <t>UGC</t>
        </is>
      </c>
      <c r="E81" s="63" t="inlineStr">
        <is>
          <t>REEL</t>
        </is>
      </c>
      <c r="F81" s="63" t="inlineStr">
        <is>
          <t>maicao</t>
        </is>
      </c>
      <c r="G81" s="63" t="inlineStr">
        <is>
          <t>repost maquillaje para principiantes</t>
        </is>
      </c>
      <c r="H81" s="63" t="str"/>
      <c r="I81" s="63" t="str"/>
      <c r="J81" s="63" t="inlineStr">
        <is>
          <t>Alcance</t>
        </is>
      </c>
      <c r="K81" s="63" t="n">
        <v>507532</v>
      </c>
      <c r="L81" s="63" t="n">
        <v>364623</v>
      </c>
      <c r="M81" s="63" t="n">
        <v>359</v>
      </c>
      <c r="N81" s="63" t="n">
        <v>6</v>
      </c>
      <c r="O81" s="63" t="n">
        <v>21</v>
      </c>
      <c r="P81" s="63" t="n">
        <v>16</v>
      </c>
      <c r="Q81" s="63" t="n">
        <v>68</v>
      </c>
      <c r="R81" s="63" t="n">
        <v>0</v>
      </c>
      <c r="S81" s="63" t="n">
        <v>0</v>
      </c>
      <c r="T81" s="63" t="n">
        <v>470</v>
      </c>
      <c r="U81" s="63" t="n">
        <v>0.1289002614</v>
      </c>
      <c r="V81" s="63" t="inlineStr">
        <is>
          <t>Sí</t>
        </is>
      </c>
      <c r="W81" s="63" t="n">
        <v>200000</v>
      </c>
      <c r="X81" s="63" t="n">
        <v>5</v>
      </c>
      <c r="Y81" s="63" t="inlineStr">
        <is>
          <t>Sí</t>
        </is>
      </c>
      <c r="Z81" s="63" t="inlineStr">
        <is>
          <t>Sí</t>
        </is>
      </c>
      <c r="AA81" s="63" t="inlineStr">
        <is>
          <t>No</t>
        </is>
      </c>
      <c r="AB81" s="63" t="inlineStr">
        <is>
          <t>No</t>
        </is>
      </c>
      <c r="AC81" s="63" t="str"/>
      <c r="AD81" s="64" t="str"/>
    </row>
    <row r="82">
      <c r="A82" s="62" t="inlineStr">
        <is>
          <t>Marzo 2026</t>
        </is>
      </c>
      <c r="B82" s="63" t="n"/>
      <c r="C82" s="63" t="inlineStr">
        <is>
          <t>Instagram</t>
        </is>
      </c>
      <c r="D82" s="63" t="inlineStr">
        <is>
          <t>CONCURSO</t>
        </is>
      </c>
      <c r="E82" s="63" t="inlineStr">
        <is>
          <t>CARRUSEL</t>
        </is>
      </c>
      <c r="F82" s="63" t="inlineStr">
        <is>
          <t>maicao</t>
        </is>
      </c>
      <c r="G82" s="63" t="inlineStr">
        <is>
          <t>concurso maquillaje</t>
        </is>
      </c>
      <c r="H82" s="63" t="str"/>
      <c r="I82" s="63" t="str"/>
      <c r="J82" s="63" t="str"/>
      <c r="K82" s="63" t="n">
        <v>24259</v>
      </c>
      <c r="L82" s="63" t="n">
        <v>9742</v>
      </c>
      <c r="M82" s="63" t="n">
        <v>980</v>
      </c>
      <c r="N82" s="63" t="n">
        <v>3500</v>
      </c>
      <c r="O82" s="63" t="n">
        <v>248</v>
      </c>
      <c r="P82" s="63" t="n">
        <v>368</v>
      </c>
      <c r="Q82" s="63" t="n">
        <v>126</v>
      </c>
      <c r="R82" s="63" t="n">
        <v>0</v>
      </c>
      <c r="S82" s="63" t="n">
        <v>0</v>
      </c>
      <c r="T82" s="63" t="n">
        <v>5222</v>
      </c>
      <c r="U82" s="63" t="n">
        <v>53.60295627</v>
      </c>
      <c r="V82" s="63" t="str"/>
      <c r="W82" s="63" t="n">
        <v>0</v>
      </c>
      <c r="X82" s="63" t="str"/>
      <c r="Y82" s="63" t="inlineStr">
        <is>
          <t>Sí</t>
        </is>
      </c>
      <c r="Z82" s="63" t="inlineStr">
        <is>
          <t>Sí</t>
        </is>
      </c>
      <c r="AA82" s="63" t="inlineStr">
        <is>
          <t>No</t>
        </is>
      </c>
      <c r="AB82" s="63" t="inlineStr">
        <is>
          <t>No</t>
        </is>
      </c>
      <c r="AC82" s="63" t="str"/>
      <c r="AD82" s="64" t="str"/>
    </row>
    <row r="83">
      <c r="A83" s="62" t="inlineStr">
        <is>
          <t>Marzo 2026</t>
        </is>
      </c>
      <c r="B83" s="63" t="n"/>
      <c r="C83" s="63" t="inlineStr">
        <is>
          <t>Instagram</t>
        </is>
      </c>
      <c r="D83" s="63" t="inlineStr">
        <is>
          <t>CAMPAÑA COLOR CRUSH</t>
        </is>
      </c>
      <c r="E83" s="63" t="inlineStr">
        <is>
          <t>REEL</t>
        </is>
      </c>
      <c r="F83" s="63" t="inlineStr">
        <is>
          <t>maicao</t>
        </is>
      </c>
      <c r="G83" s="63" t="inlineStr">
        <is>
          <t>muyjosefa</t>
        </is>
      </c>
      <c r="H83" s="63" t="str"/>
      <c r="I83" s="63" t="str"/>
      <c r="J83" s="63" t="str"/>
      <c r="K83" s="63" t="n">
        <v>56332</v>
      </c>
      <c r="L83" s="63" t="n">
        <v>33757</v>
      </c>
      <c r="M83" s="63" t="n">
        <v>1112</v>
      </c>
      <c r="N83" s="63" t="n">
        <v>15</v>
      </c>
      <c r="O83" s="63" t="n">
        <v>34</v>
      </c>
      <c r="P83" s="63" t="n">
        <v>7</v>
      </c>
      <c r="Q83" s="63" t="n">
        <v>127</v>
      </c>
      <c r="R83" s="63" t="n">
        <v>0</v>
      </c>
      <c r="S83" s="63" t="n">
        <v>0</v>
      </c>
      <c r="T83" s="63" t="n">
        <v>1295</v>
      </c>
      <c r="U83" s="63" t="n">
        <v>3.836241372</v>
      </c>
      <c r="V83" s="63" t="str"/>
      <c r="W83" s="63" t="n">
        <v>0</v>
      </c>
      <c r="X83" s="63" t="str"/>
      <c r="Y83" s="63" t="inlineStr">
        <is>
          <t>Sí</t>
        </is>
      </c>
      <c r="Z83" s="63" t="inlineStr">
        <is>
          <t>Sí</t>
        </is>
      </c>
      <c r="AA83" s="63" t="inlineStr">
        <is>
          <t>No</t>
        </is>
      </c>
      <c r="AB83" s="63" t="inlineStr">
        <is>
          <t>No</t>
        </is>
      </c>
      <c r="AC83" s="63" t="str"/>
      <c r="AD83" s="64" t="str"/>
    </row>
    <row r="84">
      <c r="A84" s="62" t="inlineStr">
        <is>
          <t>Marzo 2026</t>
        </is>
      </c>
      <c r="B84" s="63" t="n"/>
      <c r="C84" s="63" t="inlineStr">
        <is>
          <t>Instagram</t>
        </is>
      </c>
      <c r="D84" s="63" t="inlineStr">
        <is>
          <t>EXTRA</t>
        </is>
      </c>
      <c r="E84" s="63" t="inlineStr">
        <is>
          <t>CARRUSEL</t>
        </is>
      </c>
      <c r="F84" s="63" t="inlineStr">
        <is>
          <t>maicao</t>
        </is>
      </c>
      <c r="G84" s="63" t="inlineStr">
        <is>
          <t>día de la felicidad</t>
        </is>
      </c>
      <c r="H84" s="63" t="str"/>
      <c r="I84" s="63" t="str"/>
      <c r="J84" s="63" t="str"/>
      <c r="K84" s="63" t="n">
        <v>7093</v>
      </c>
      <c r="L84" s="63" t="n">
        <v>2811</v>
      </c>
      <c r="M84" s="63" t="n">
        <v>66</v>
      </c>
      <c r="N84" s="63" t="n">
        <v>0</v>
      </c>
      <c r="O84" s="63" t="n">
        <v>18</v>
      </c>
      <c r="P84" s="63" t="n">
        <v>4</v>
      </c>
      <c r="Q84" s="63" t="n">
        <v>9</v>
      </c>
      <c r="R84" s="63" t="n">
        <v>0</v>
      </c>
      <c r="S84" s="63" t="n">
        <v>0</v>
      </c>
      <c r="T84" s="63" t="n">
        <v>97</v>
      </c>
      <c r="U84" s="63" t="n">
        <v>3.450729278</v>
      </c>
      <c r="V84" s="63" t="str"/>
      <c r="W84" s="63" t="n">
        <v>0</v>
      </c>
      <c r="X84" s="63" t="str"/>
      <c r="Y84" s="63" t="inlineStr">
        <is>
          <t>Sí</t>
        </is>
      </c>
      <c r="Z84" s="63" t="inlineStr">
        <is>
          <t>Sí</t>
        </is>
      </c>
      <c r="AA84" s="63" t="inlineStr">
        <is>
          <t>No</t>
        </is>
      </c>
      <c r="AB84" s="63" t="inlineStr">
        <is>
          <t>No</t>
        </is>
      </c>
      <c r="AC84" s="63" t="str"/>
      <c r="AD84" s="64" t="str"/>
    </row>
    <row r="85">
      <c r="A85" s="62" t="inlineStr">
        <is>
          <t>Marzo 2026</t>
        </is>
      </c>
      <c r="B85" s="63" t="n"/>
      <c r="C85" s="63" t="inlineStr">
        <is>
          <t>Instagram</t>
        </is>
      </c>
      <c r="D85" s="63" t="inlineStr">
        <is>
          <t>SAMY</t>
        </is>
      </c>
      <c r="E85" s="63" t="inlineStr">
        <is>
          <t>REEL</t>
        </is>
      </c>
      <c r="F85" s="63" t="inlineStr">
        <is>
          <t>maicao</t>
        </is>
      </c>
      <c r="G85" s="63" t="inlineStr">
        <is>
          <t>que hay en mi cosmetiquero varasmusica</t>
        </is>
      </c>
      <c r="H85" s="63" t="str"/>
      <c r="I85" s="63" t="str"/>
      <c r="J85" s="63" t="str"/>
      <c r="K85" s="63" t="n">
        <v>5215</v>
      </c>
      <c r="L85" s="63" t="n">
        <v>3702</v>
      </c>
      <c r="M85" s="63" t="n">
        <v>124</v>
      </c>
      <c r="N85" s="63" t="n">
        <v>28</v>
      </c>
      <c r="O85" s="63" t="n">
        <v>7</v>
      </c>
      <c r="P85" s="63" t="n">
        <v>11</v>
      </c>
      <c r="Q85" s="63" t="n">
        <v>13</v>
      </c>
      <c r="R85" s="63" t="n">
        <v>0</v>
      </c>
      <c r="S85" s="63" t="n">
        <v>0</v>
      </c>
      <c r="T85" s="63" t="n">
        <v>183</v>
      </c>
      <c r="U85" s="63" t="n">
        <v>4.943273906</v>
      </c>
      <c r="V85" s="63" t="str"/>
      <c r="W85" s="63" t="n">
        <v>0</v>
      </c>
      <c r="X85" s="63" t="str"/>
      <c r="Y85" s="63" t="inlineStr">
        <is>
          <t>Sí</t>
        </is>
      </c>
      <c r="Z85" s="63" t="inlineStr">
        <is>
          <t>Sí</t>
        </is>
      </c>
      <c r="AA85" s="63" t="inlineStr">
        <is>
          <t>No</t>
        </is>
      </c>
      <c r="AB85" s="63" t="inlineStr">
        <is>
          <t>No</t>
        </is>
      </c>
      <c r="AC85" s="63" t="str"/>
      <c r="AD85" s="64" t="str"/>
    </row>
    <row r="86">
      <c r="A86" s="62" t="inlineStr">
        <is>
          <t>Marzo 2026</t>
        </is>
      </c>
      <c r="B86" s="63" t="n"/>
      <c r="C86" s="63" t="inlineStr">
        <is>
          <t>Instagram</t>
        </is>
      </c>
      <c r="D86" s="63" t="inlineStr">
        <is>
          <t>UGC</t>
        </is>
      </c>
      <c r="E86" s="63" t="inlineStr">
        <is>
          <t>CARRUSEL</t>
        </is>
      </c>
      <c r="F86" s="63" t="inlineStr">
        <is>
          <t>maicao</t>
        </is>
      </c>
      <c r="G86" s="63" t="inlineStr">
        <is>
          <t>por qué compras en maicao?</t>
        </is>
      </c>
      <c r="H86" s="63" t="str"/>
      <c r="I86" s="63" t="str"/>
      <c r="J86" s="63" t="str"/>
      <c r="K86" s="63" t="n">
        <v>6314</v>
      </c>
      <c r="L86" s="63" t="n">
        <v>4785</v>
      </c>
      <c r="M86" s="63" t="n">
        <v>126</v>
      </c>
      <c r="N86" s="63" t="n">
        <v>14</v>
      </c>
      <c r="O86" s="63" t="n">
        <v>34</v>
      </c>
      <c r="P86" s="63" t="n">
        <v>13</v>
      </c>
      <c r="Q86" s="63" t="n">
        <v>3</v>
      </c>
      <c r="R86" s="63" t="n">
        <v>0</v>
      </c>
      <c r="S86" s="63" t="n">
        <v>0</v>
      </c>
      <c r="T86" s="63" t="n">
        <v>190</v>
      </c>
      <c r="U86" s="63" t="n">
        <v>3.970741902</v>
      </c>
      <c r="V86" s="63" t="str"/>
      <c r="W86" s="63" t="n">
        <v>0</v>
      </c>
      <c r="X86" s="63" t="str"/>
      <c r="Y86" s="63" t="inlineStr">
        <is>
          <t>Sí</t>
        </is>
      </c>
      <c r="Z86" s="63" t="inlineStr">
        <is>
          <t>Sí</t>
        </is>
      </c>
      <c r="AA86" s="63" t="inlineStr">
        <is>
          <t>No</t>
        </is>
      </c>
      <c r="AB86" s="63" t="inlineStr">
        <is>
          <t>No</t>
        </is>
      </c>
      <c r="AC86" s="63" t="str"/>
      <c r="AD86" s="64" t="str"/>
    </row>
    <row r="87">
      <c r="A87" s="62" t="inlineStr">
        <is>
          <t>Marzo 2026</t>
        </is>
      </c>
      <c r="B87" s="63" t="n"/>
      <c r="C87" s="63" t="inlineStr">
        <is>
          <t>Instagram</t>
        </is>
      </c>
      <c r="D87" s="63" t="inlineStr">
        <is>
          <t>SABRINA CARPENTER</t>
        </is>
      </c>
      <c r="E87" s="63" t="inlineStr">
        <is>
          <t>REEL</t>
        </is>
      </c>
      <c r="F87" s="63" t="inlineStr">
        <is>
          <t>maicao</t>
        </is>
      </c>
      <c r="G87" s="63" t="inlineStr">
        <is>
          <t>teaser lemon pie isiortrippp</t>
        </is>
      </c>
      <c r="H87" s="63" t="str"/>
      <c r="I87" s="63" t="str"/>
      <c r="J87" s="63" t="str"/>
      <c r="K87" s="63" t="n">
        <v>56780</v>
      </c>
      <c r="L87" s="63" t="n">
        <v>22514</v>
      </c>
      <c r="M87" s="63" t="n">
        <v>1702</v>
      </c>
      <c r="N87" s="63" t="n">
        <v>54</v>
      </c>
      <c r="O87" s="63" t="n">
        <v>18</v>
      </c>
      <c r="P87" s="63" t="n">
        <v>3</v>
      </c>
      <c r="Q87" s="63" t="n">
        <v>19</v>
      </c>
      <c r="R87" s="63" t="n">
        <v>0</v>
      </c>
      <c r="S87" s="63" t="n">
        <v>0</v>
      </c>
      <c r="T87" s="63" t="n">
        <v>1796</v>
      </c>
      <c r="U87" s="63" t="n">
        <v>7.977258595</v>
      </c>
      <c r="V87" s="63" t="str"/>
      <c r="W87" s="63" t="n">
        <v>0</v>
      </c>
      <c r="X87" s="63" t="str"/>
      <c r="Y87" s="63" t="inlineStr">
        <is>
          <t>Sí</t>
        </is>
      </c>
      <c r="Z87" s="63" t="inlineStr">
        <is>
          <t>Sí</t>
        </is>
      </c>
      <c r="AA87" s="63" t="inlineStr">
        <is>
          <t>No</t>
        </is>
      </c>
      <c r="AB87" s="63" t="inlineStr">
        <is>
          <t>No</t>
        </is>
      </c>
      <c r="AC87" s="63" t="str"/>
      <c r="AD87" s="64" t="str"/>
    </row>
    <row r="88">
      <c r="A88" s="62" t="inlineStr">
        <is>
          <t>Marzo 2026</t>
        </is>
      </c>
      <c r="B88" s="63" t="n"/>
      <c r="C88" s="63" t="inlineStr">
        <is>
          <t>Instagram</t>
        </is>
      </c>
      <c r="D88" s="63" t="inlineStr">
        <is>
          <t>UGC</t>
        </is>
      </c>
      <c r="E88" s="63" t="inlineStr">
        <is>
          <t>CARRUSEL</t>
        </is>
      </c>
      <c r="F88" s="63" t="inlineStr">
        <is>
          <t>maicao</t>
        </is>
      </c>
      <c r="G88" s="63" t="inlineStr">
        <is>
          <t>repost hannah montana</t>
        </is>
      </c>
      <c r="H88" s="63" t="str"/>
      <c r="I88" s="63" t="str"/>
      <c r="J88" s="63" t="str"/>
      <c r="K88" s="63" t="n">
        <v>15913</v>
      </c>
      <c r="L88" s="63" t="n">
        <v>7076</v>
      </c>
      <c r="M88" s="63" t="n">
        <v>406</v>
      </c>
      <c r="N88" s="63" t="n">
        <v>9</v>
      </c>
      <c r="O88" s="63" t="n">
        <v>20</v>
      </c>
      <c r="P88" s="63" t="n">
        <v>12</v>
      </c>
      <c r="Q88" s="63" t="n">
        <v>20</v>
      </c>
      <c r="R88" s="63" t="n">
        <v>0</v>
      </c>
      <c r="S88" s="63" t="n">
        <v>0</v>
      </c>
      <c r="T88" s="63" t="n">
        <v>467</v>
      </c>
      <c r="U88" s="63" t="n">
        <v>6.599773884</v>
      </c>
      <c r="V88" s="63" t="str"/>
      <c r="W88" s="63" t="n">
        <v>0</v>
      </c>
      <c r="X88" s="63" t="str"/>
      <c r="Y88" s="63" t="inlineStr">
        <is>
          <t>Sí</t>
        </is>
      </c>
      <c r="Z88" s="63" t="inlineStr">
        <is>
          <t>Sí</t>
        </is>
      </c>
      <c r="AA88" s="63" t="inlineStr">
        <is>
          <t>No</t>
        </is>
      </c>
      <c r="AB88" s="63" t="inlineStr">
        <is>
          <t>No</t>
        </is>
      </c>
      <c r="AC88" s="63" t="str"/>
      <c r="AD88" s="64" t="str"/>
    </row>
    <row r="89">
      <c r="A89" s="62" t="inlineStr">
        <is>
          <t>Marzo 2026</t>
        </is>
      </c>
      <c r="B89" s="63" t="n"/>
      <c r="C89" s="63" t="inlineStr">
        <is>
          <t>Instagram</t>
        </is>
      </c>
      <c r="D89" s="63" t="inlineStr">
        <is>
          <t>SAMY</t>
        </is>
      </c>
      <c r="E89" s="63" t="inlineStr">
        <is>
          <t>REEL</t>
        </is>
      </c>
      <c r="F89" s="63" t="inlineStr">
        <is>
          <t>maicao</t>
        </is>
      </c>
      <c r="G89" s="63" t="inlineStr">
        <is>
          <t>glowup samy - velybeauty</t>
        </is>
      </c>
      <c r="H89" s="63" t="str"/>
      <c r="I89" s="63" t="str"/>
      <c r="J89" s="63" t="str"/>
      <c r="K89" s="63" t="n">
        <v>4673</v>
      </c>
      <c r="L89" s="63" t="n">
        <v>3589</v>
      </c>
      <c r="M89" s="63" t="n">
        <v>64</v>
      </c>
      <c r="N89" s="63" t="n">
        <v>7</v>
      </c>
      <c r="O89" s="63" t="n">
        <v>2</v>
      </c>
      <c r="P89" s="63" t="n">
        <v>5</v>
      </c>
      <c r="Q89" s="63" t="n">
        <v>4</v>
      </c>
      <c r="R89" s="63" t="n">
        <v>0</v>
      </c>
      <c r="S89" s="63" t="n">
        <v>0</v>
      </c>
      <c r="T89" s="63" t="n">
        <v>82</v>
      </c>
      <c r="U89" s="63" t="n">
        <v>2.284758986</v>
      </c>
      <c r="V89" s="63" t="str"/>
      <c r="W89" s="63" t="n">
        <v>0</v>
      </c>
      <c r="X89" s="63" t="str"/>
      <c r="Y89" s="63" t="inlineStr">
        <is>
          <t>Sí</t>
        </is>
      </c>
      <c r="Z89" s="63" t="inlineStr">
        <is>
          <t>Sí</t>
        </is>
      </c>
      <c r="AA89" s="63" t="inlineStr">
        <is>
          <t>No</t>
        </is>
      </c>
      <c r="AB89" s="63" t="inlineStr">
        <is>
          <t>Sí</t>
        </is>
      </c>
      <c r="AC89" s="63" t="str"/>
      <c r="AD89" s="64" t="str"/>
    </row>
    <row r="90">
      <c r="A90" s="62" t="inlineStr">
        <is>
          <t>Marzo 2026</t>
        </is>
      </c>
      <c r="B90" s="63" t="n"/>
      <c r="C90" s="63" t="inlineStr">
        <is>
          <t>Instagram</t>
        </is>
      </c>
      <c r="D90" s="63" t="inlineStr">
        <is>
          <t>SABRINA CARPENTER</t>
        </is>
      </c>
      <c r="E90" s="63" t="inlineStr">
        <is>
          <t>CARRUSEL</t>
        </is>
      </c>
      <c r="F90" s="63" t="inlineStr">
        <is>
          <t>maicao</t>
        </is>
      </c>
      <c r="G90" s="63" t="inlineStr">
        <is>
          <t>teaser lemon pie - _carlabenavides</t>
        </is>
      </c>
      <c r="H90" s="63" t="str"/>
      <c r="I90" s="63" t="str"/>
      <c r="J90" s="63" t="str"/>
      <c r="K90" s="63" t="n">
        <v>58302</v>
      </c>
      <c r="L90" s="63" t="n">
        <v>15960</v>
      </c>
      <c r="M90" s="63" t="n">
        <v>587</v>
      </c>
      <c r="N90" s="63" t="n">
        <v>18</v>
      </c>
      <c r="O90" s="63" t="n">
        <v>27</v>
      </c>
      <c r="P90" s="63" t="n">
        <v>5</v>
      </c>
      <c r="Q90" s="63" t="n">
        <v>7</v>
      </c>
      <c r="R90" s="63" t="n">
        <v>0</v>
      </c>
      <c r="S90" s="63" t="n">
        <v>0</v>
      </c>
      <c r="T90" s="63" t="n">
        <v>644</v>
      </c>
      <c r="U90" s="63" t="n">
        <v>4.035087719</v>
      </c>
      <c r="V90" s="63" t="str"/>
      <c r="W90" s="63" t="n">
        <v>0</v>
      </c>
      <c r="X90" s="63" t="str"/>
      <c r="Y90" s="63" t="inlineStr">
        <is>
          <t>Sí</t>
        </is>
      </c>
      <c r="Z90" s="63" t="inlineStr">
        <is>
          <t>Sí</t>
        </is>
      </c>
      <c r="AA90" s="63" t="inlineStr">
        <is>
          <t>No</t>
        </is>
      </c>
      <c r="AB90" s="63" t="inlineStr">
        <is>
          <t>No</t>
        </is>
      </c>
      <c r="AC90" s="63" t="str"/>
      <c r="AD90" s="64" t="str"/>
    </row>
    <row r="91">
      <c r="A91" s="62" t="inlineStr">
        <is>
          <t>Marzo 2026</t>
        </is>
      </c>
      <c r="B91" s="63" t="n"/>
      <c r="C91" s="63" t="inlineStr">
        <is>
          <t>Instagram</t>
        </is>
      </c>
      <c r="D91" s="63" t="inlineStr">
        <is>
          <t>SABRINA CARPENTER</t>
        </is>
      </c>
      <c r="E91" s="63" t="inlineStr">
        <is>
          <t>CARRUSEL</t>
        </is>
      </c>
      <c r="F91" s="63" t="inlineStr">
        <is>
          <t>maicao</t>
        </is>
      </c>
      <c r="G91" s="63" t="inlineStr">
        <is>
          <t>teaser lemon pie - josevalenh</t>
        </is>
      </c>
      <c r="H91" s="63" t="str"/>
      <c r="I91" s="63" t="str"/>
      <c r="J91" s="63" t="str"/>
      <c r="K91" s="63" t="n">
        <v>31024</v>
      </c>
      <c r="L91" s="63" t="n">
        <v>11297</v>
      </c>
      <c r="M91" s="63" t="n">
        <v>568</v>
      </c>
      <c r="N91" s="63" t="n">
        <v>67</v>
      </c>
      <c r="O91" s="63" t="n">
        <v>7</v>
      </c>
      <c r="P91" s="63" t="n">
        <v>6</v>
      </c>
      <c r="Q91" s="63" t="n">
        <v>5</v>
      </c>
      <c r="R91" s="63" t="n">
        <v>0</v>
      </c>
      <c r="S91" s="63" t="n">
        <v>0</v>
      </c>
      <c r="T91" s="63" t="n">
        <v>653</v>
      </c>
      <c r="U91" s="63" t="n">
        <v>5.780295654</v>
      </c>
      <c r="V91" s="63" t="str"/>
      <c r="W91" s="63" t="n">
        <v>0</v>
      </c>
      <c r="X91" s="63" t="str"/>
      <c r="Y91" s="63" t="inlineStr">
        <is>
          <t>Sí</t>
        </is>
      </c>
      <c r="Z91" s="63" t="inlineStr">
        <is>
          <t>Sí</t>
        </is>
      </c>
      <c r="AA91" s="63" t="inlineStr">
        <is>
          <t>No</t>
        </is>
      </c>
      <c r="AB91" s="63" t="inlineStr">
        <is>
          <t>No</t>
        </is>
      </c>
      <c r="AC91" s="63" t="str"/>
      <c r="AD91" s="64" t="str"/>
    </row>
    <row r="92">
      <c r="A92" s="62" t="inlineStr">
        <is>
          <t>Marzo 2026</t>
        </is>
      </c>
      <c r="B92" s="63" t="n"/>
      <c r="C92" s="63" t="inlineStr">
        <is>
          <t>Instagram</t>
        </is>
      </c>
      <c r="D92" s="63" t="inlineStr">
        <is>
          <t>SABRINA CARPENTER</t>
        </is>
      </c>
      <c r="E92" s="63" t="inlineStr">
        <is>
          <t>CARRUSEL</t>
        </is>
      </c>
      <c r="F92" s="63" t="inlineStr">
        <is>
          <t>maicao</t>
        </is>
      </c>
      <c r="G92" s="63" t="inlineStr">
        <is>
          <t>teaser lemon pie - cata_fdez94</t>
        </is>
      </c>
      <c r="H92" s="63" t="str"/>
      <c r="I92" s="63" t="str"/>
      <c r="J92" s="63" t="str"/>
      <c r="K92" s="63" t="n">
        <v>51476</v>
      </c>
      <c r="L92" s="63" t="n">
        <v>16889</v>
      </c>
      <c r="M92" s="63" t="n">
        <v>1051</v>
      </c>
      <c r="N92" s="63" t="n">
        <v>83</v>
      </c>
      <c r="O92" s="63" t="n">
        <v>6</v>
      </c>
      <c r="P92" s="63" t="n">
        <v>10</v>
      </c>
      <c r="Q92" s="63" t="n">
        <v>10</v>
      </c>
      <c r="R92" s="63" t="n">
        <v>0</v>
      </c>
      <c r="S92" s="63" t="n">
        <v>0</v>
      </c>
      <c r="T92" s="63" t="n">
        <v>1160</v>
      </c>
      <c r="U92" s="63" t="n">
        <v>6.868375866</v>
      </c>
      <c r="V92" s="63" t="str"/>
      <c r="W92" s="63" t="n">
        <v>0</v>
      </c>
      <c r="X92" s="63" t="str"/>
      <c r="Y92" s="63" t="inlineStr">
        <is>
          <t>Sí</t>
        </is>
      </c>
      <c r="Z92" s="63" t="inlineStr">
        <is>
          <t>Sí</t>
        </is>
      </c>
      <c r="AA92" s="63" t="inlineStr">
        <is>
          <t>No</t>
        </is>
      </c>
      <c r="AB92" s="63" t="inlineStr">
        <is>
          <t>No</t>
        </is>
      </c>
      <c r="AC92" s="63" t="str"/>
      <c r="AD92" s="64" t="str"/>
    </row>
    <row r="93">
      <c r="A93" s="62" t="inlineStr">
        <is>
          <t>Marzo 2026</t>
        </is>
      </c>
      <c r="B93" s="63" t="n"/>
      <c r="C93" s="63" t="inlineStr">
        <is>
          <t>Instagram</t>
        </is>
      </c>
      <c r="D93" s="63" t="inlineStr">
        <is>
          <t>PANTENE</t>
        </is>
      </c>
      <c r="E93" s="63" t="inlineStr">
        <is>
          <t>REEL</t>
        </is>
      </c>
      <c r="F93" s="63" t="inlineStr">
        <is>
          <t>maicao</t>
        </is>
      </c>
      <c r="G93" s="63" t="inlineStr">
        <is>
          <t>pantene molecular - victoriahelo</t>
        </is>
      </c>
      <c r="H93" s="63" t="str"/>
      <c r="I93" s="63" t="str"/>
      <c r="J93" s="63" t="str"/>
      <c r="K93" s="63" t="n">
        <v>21557</v>
      </c>
      <c r="L93" s="63" t="n">
        <v>13755</v>
      </c>
      <c r="M93" s="63" t="n">
        <v>175</v>
      </c>
      <c r="N93" s="63" t="n">
        <v>27</v>
      </c>
      <c r="O93" s="63" t="n">
        <v>44</v>
      </c>
      <c r="P93" s="63" t="n">
        <v>12</v>
      </c>
      <c r="Q93" s="63" t="n">
        <v>7</v>
      </c>
      <c r="R93" s="63" t="n">
        <v>0</v>
      </c>
      <c r="S93" s="63" t="n">
        <v>0</v>
      </c>
      <c r="T93" s="63" t="n">
        <v>265</v>
      </c>
      <c r="U93" s="63" t="n">
        <v>1.926572156</v>
      </c>
      <c r="V93" s="63" t="str"/>
      <c r="W93" s="63" t="n">
        <v>0</v>
      </c>
      <c r="X93" s="63" t="str"/>
      <c r="Y93" s="63" t="inlineStr">
        <is>
          <t>Sí</t>
        </is>
      </c>
      <c r="Z93" s="63" t="inlineStr">
        <is>
          <t>Sí</t>
        </is>
      </c>
      <c r="AA93" s="63" t="inlineStr">
        <is>
          <t>No</t>
        </is>
      </c>
      <c r="AB93" s="63" t="inlineStr">
        <is>
          <t>No</t>
        </is>
      </c>
      <c r="AC93" s="63" t="str"/>
      <c r="AD93" s="64" t="str"/>
    </row>
    <row r="94">
      <c r="A94" s="62" t="inlineStr">
        <is>
          <t>Marzo 2026</t>
        </is>
      </c>
      <c r="B94" s="63" t="n"/>
      <c r="C94" s="63" t="inlineStr">
        <is>
          <t>TikTok</t>
        </is>
      </c>
      <c r="D94" s="63" t="inlineStr">
        <is>
          <t>CAMPAÑA</t>
        </is>
      </c>
      <c r="E94" s="63" t="inlineStr">
        <is>
          <t>VIDEO</t>
        </is>
      </c>
      <c r="F94" s="63" t="inlineStr">
        <is>
          <t>maicao</t>
        </is>
      </c>
      <c r="G94" s="63" t="inlineStr">
        <is>
          <t>sobreviviendo al verano cap 3</t>
        </is>
      </c>
      <c r="H94" s="63" t="str"/>
      <c r="I94" s="63" t="str"/>
      <c r="J94" s="63" t="str"/>
      <c r="K94" s="63" t="n">
        <v>967</v>
      </c>
      <c r="L94" s="63" t="n">
        <v>787</v>
      </c>
      <c r="M94" s="63" t="n">
        <v>39</v>
      </c>
      <c r="N94" s="63" t="n">
        <v>4</v>
      </c>
      <c r="O94" s="63" t="n">
        <v>6</v>
      </c>
      <c r="P94" s="63" t="n">
        <v>0</v>
      </c>
      <c r="Q94" s="63" t="n">
        <v>3</v>
      </c>
      <c r="R94" s="63" t="n">
        <v>0</v>
      </c>
      <c r="S94" s="63" t="n">
        <v>0</v>
      </c>
      <c r="T94" s="63" t="n">
        <v>52</v>
      </c>
      <c r="U94" s="63" t="n">
        <v>6.607369759</v>
      </c>
      <c r="V94" s="63" t="str"/>
      <c r="W94" s="63" t="n">
        <v>0</v>
      </c>
      <c r="X94" s="63" t="str"/>
      <c r="Y94" s="63" t="inlineStr">
        <is>
          <t>Sí</t>
        </is>
      </c>
      <c r="Z94" s="63" t="inlineStr">
        <is>
          <t>Sí</t>
        </is>
      </c>
      <c r="AA94" s="63" t="inlineStr">
        <is>
          <t>No</t>
        </is>
      </c>
      <c r="AB94" s="63" t="inlineStr">
        <is>
          <t>No</t>
        </is>
      </c>
      <c r="AC94" s="63" t="str"/>
      <c r="AD94" s="64" t="str"/>
    </row>
    <row r="95">
      <c r="A95" s="62" t="inlineStr">
        <is>
          <t>Marzo 2026</t>
        </is>
      </c>
      <c r="B95" s="63" t="n"/>
      <c r="C95" s="63" t="inlineStr">
        <is>
          <t>TikTok</t>
        </is>
      </c>
      <c r="D95" s="63" t="inlineStr">
        <is>
          <t>UGC</t>
        </is>
      </c>
      <c r="E95" s="63" t="inlineStr">
        <is>
          <t>VIDEO</t>
        </is>
      </c>
      <c r="F95" s="63" t="inlineStr">
        <is>
          <t>maicao</t>
        </is>
      </c>
      <c r="G95" s="63" t="inlineStr">
        <is>
          <t>ugc lanzamientos marzo</t>
        </is>
      </c>
      <c r="H95" s="63" t="str"/>
      <c r="I95" s="63" t="str"/>
      <c r="J95" s="63" t="str"/>
      <c r="K95" s="63" t="n">
        <v>576232</v>
      </c>
      <c r="L95" s="63" t="n">
        <v>101100</v>
      </c>
      <c r="M95" s="63" t="n">
        <v>229</v>
      </c>
      <c r="N95" s="63" t="n">
        <v>1</v>
      </c>
      <c r="O95" s="63" t="n">
        <v>16</v>
      </c>
      <c r="P95" s="63" t="n">
        <v>0</v>
      </c>
      <c r="Q95" s="63" t="n">
        <v>31</v>
      </c>
      <c r="R95" s="63" t="n">
        <v>0</v>
      </c>
      <c r="S95" s="63" t="n">
        <v>0</v>
      </c>
      <c r="T95" s="63" t="n">
        <v>277</v>
      </c>
      <c r="U95" s="63" t="n">
        <v>0.2739861523</v>
      </c>
      <c r="V95" s="63" t="str"/>
      <c r="W95" s="63" t="n">
        <v>0</v>
      </c>
      <c r="X95" s="63" t="str"/>
      <c r="Y95" s="63" t="inlineStr">
        <is>
          <t>Sí</t>
        </is>
      </c>
      <c r="Z95" s="63" t="inlineStr">
        <is>
          <t>Sí</t>
        </is>
      </c>
      <c r="AA95" s="63" t="inlineStr">
        <is>
          <t>No</t>
        </is>
      </c>
      <c r="AB95" s="63" t="inlineStr">
        <is>
          <t>No</t>
        </is>
      </c>
      <c r="AC95" s="63" t="str"/>
      <c r="AD95" s="64" t="str"/>
    </row>
    <row r="96">
      <c r="A96" s="62" t="inlineStr">
        <is>
          <t>Marzo 2026</t>
        </is>
      </c>
      <c r="B96" s="63" t="n"/>
      <c r="C96" s="63" t="inlineStr">
        <is>
          <t>TikTok</t>
        </is>
      </c>
      <c r="D96" s="63" t="inlineStr">
        <is>
          <t>UGC</t>
        </is>
      </c>
      <c r="E96" s="63" t="inlineStr">
        <is>
          <t>VIDEO</t>
        </is>
      </c>
      <c r="F96" s="63" t="inlineStr">
        <is>
          <t>maicao</t>
        </is>
      </c>
      <c r="G96" s="63" t="inlineStr">
        <is>
          <t>ugc glow up día antes de clases</t>
        </is>
      </c>
      <c r="H96" s="63" t="str"/>
      <c r="I96" s="63" t="str"/>
      <c r="J96" s="63" t="str"/>
      <c r="K96" s="63" t="n">
        <v>1602</v>
      </c>
      <c r="L96" s="63" t="n">
        <v>1400</v>
      </c>
      <c r="M96" s="63" t="n">
        <v>48</v>
      </c>
      <c r="N96" s="63" t="n">
        <v>12</v>
      </c>
      <c r="O96" s="63" t="n">
        <v>3</v>
      </c>
      <c r="P96" s="63" t="n">
        <v>0</v>
      </c>
      <c r="Q96" s="63" t="n">
        <v>0</v>
      </c>
      <c r="R96" s="63" t="n">
        <v>0</v>
      </c>
      <c r="S96" s="63" t="n">
        <v>0</v>
      </c>
      <c r="T96" s="63" t="n">
        <v>63</v>
      </c>
      <c r="U96" s="63" t="n">
        <v>4.5</v>
      </c>
      <c r="V96" s="63" t="str"/>
      <c r="W96" s="63" t="n">
        <v>0</v>
      </c>
      <c r="X96" s="63" t="str"/>
      <c r="Y96" s="63" t="inlineStr">
        <is>
          <t>Sí</t>
        </is>
      </c>
      <c r="Z96" s="63" t="inlineStr">
        <is>
          <t>Sí</t>
        </is>
      </c>
      <c r="AA96" s="63" t="inlineStr">
        <is>
          <t>No</t>
        </is>
      </c>
      <c r="AB96" s="63" t="inlineStr">
        <is>
          <t>No</t>
        </is>
      </c>
      <c r="AC96" s="63" t="str"/>
      <c r="AD96" s="64" t="str"/>
    </row>
    <row r="97">
      <c r="A97" s="62" t="inlineStr">
        <is>
          <t>Marzo 2026</t>
        </is>
      </c>
      <c r="B97" s="63" t="n"/>
      <c r="C97" s="63" t="inlineStr">
        <is>
          <t>TikTok</t>
        </is>
      </c>
      <c r="D97" s="63" t="inlineStr">
        <is>
          <t>EGC</t>
        </is>
      </c>
      <c r="E97" s="63" t="inlineStr">
        <is>
          <t>VIDEO</t>
        </is>
      </c>
      <c r="F97" s="63" t="inlineStr">
        <is>
          <t>maicao</t>
        </is>
      </c>
      <c r="G97" s="63" t="inlineStr">
        <is>
          <t>ofertas desde 1000</t>
        </is>
      </c>
      <c r="H97" s="63" t="str"/>
      <c r="I97" s="63" t="str"/>
      <c r="J97" s="63" t="str"/>
      <c r="K97" s="63" t="n">
        <v>757175</v>
      </c>
      <c r="L97" s="63" t="n">
        <v>143800</v>
      </c>
      <c r="M97" s="63" t="n">
        <v>645</v>
      </c>
      <c r="N97" s="63" t="n">
        <v>15</v>
      </c>
      <c r="O97" s="63" t="n">
        <v>59</v>
      </c>
      <c r="P97" s="63" t="n">
        <v>0</v>
      </c>
      <c r="Q97" s="63" t="n">
        <v>81</v>
      </c>
      <c r="R97" s="63" t="n">
        <v>0</v>
      </c>
      <c r="S97" s="63" t="n">
        <v>0</v>
      </c>
      <c r="T97" s="63" t="n">
        <v>800</v>
      </c>
      <c r="U97" s="63" t="n">
        <v>0.5563282337</v>
      </c>
      <c r="V97" s="63" t="str"/>
      <c r="W97" s="63" t="n">
        <v>0</v>
      </c>
      <c r="X97" s="63" t="str"/>
      <c r="Y97" s="63" t="inlineStr">
        <is>
          <t>Sí</t>
        </is>
      </c>
      <c r="Z97" s="63" t="inlineStr">
        <is>
          <t>Sí</t>
        </is>
      </c>
      <c r="AA97" s="63" t="inlineStr">
        <is>
          <t>No</t>
        </is>
      </c>
      <c r="AB97" s="63" t="inlineStr">
        <is>
          <t>No</t>
        </is>
      </c>
      <c r="AC97" s="63" t="str"/>
      <c r="AD97" s="64" t="str"/>
    </row>
    <row r="98">
      <c r="A98" s="62" t="inlineStr">
        <is>
          <t>Marzo 2026</t>
        </is>
      </c>
      <c r="B98" s="63" t="n"/>
      <c r="C98" s="63" t="inlineStr">
        <is>
          <t>TikTok</t>
        </is>
      </c>
      <c r="D98" s="63" t="inlineStr">
        <is>
          <t>UGC</t>
        </is>
      </c>
      <c r="E98" s="63" t="inlineStr">
        <is>
          <t>VIDEO</t>
        </is>
      </c>
      <c r="F98" s="63" t="inlineStr">
        <is>
          <t>maicao</t>
        </is>
      </c>
      <c r="G98" s="63" t="inlineStr">
        <is>
          <t>ugc nivea bridgerton</t>
        </is>
      </c>
      <c r="H98" s="63" t="str"/>
      <c r="I98" s="63" t="str"/>
      <c r="J98" s="63" t="str"/>
      <c r="K98" s="63" t="n">
        <v>630532</v>
      </c>
      <c r="L98" s="63" t="n">
        <v>168600</v>
      </c>
      <c r="M98" s="63" t="n">
        <v>298</v>
      </c>
      <c r="N98" s="63" t="n">
        <v>5</v>
      </c>
      <c r="O98" s="63" t="n">
        <v>24</v>
      </c>
      <c r="P98" s="63" t="n">
        <v>0</v>
      </c>
      <c r="Q98" s="63" t="n">
        <v>31</v>
      </c>
      <c r="R98" s="63" t="n">
        <v>0</v>
      </c>
      <c r="S98" s="63" t="n">
        <v>0</v>
      </c>
      <c r="T98" s="63" t="n">
        <v>358</v>
      </c>
      <c r="U98" s="63" t="n">
        <v>0.2123368921</v>
      </c>
      <c r="V98" s="63" t="str"/>
      <c r="W98" s="63" t="n">
        <v>0</v>
      </c>
      <c r="X98" s="63" t="str"/>
      <c r="Y98" s="63" t="inlineStr">
        <is>
          <t>Sí</t>
        </is>
      </c>
      <c r="Z98" s="63" t="inlineStr">
        <is>
          <t>Sí</t>
        </is>
      </c>
      <c r="AA98" s="63" t="inlineStr">
        <is>
          <t>No</t>
        </is>
      </c>
      <c r="AB98" s="63" t="inlineStr">
        <is>
          <t>No</t>
        </is>
      </c>
      <c r="AC98" s="63" t="str"/>
      <c r="AD98" s="64" t="str"/>
    </row>
    <row r="99">
      <c r="A99" s="62" t="inlineStr">
        <is>
          <t>Marzo 2026</t>
        </is>
      </c>
      <c r="B99" s="63" t="n"/>
      <c r="C99" s="63" t="inlineStr">
        <is>
          <t>TikTok</t>
        </is>
      </c>
      <c r="D99" s="63" t="inlineStr">
        <is>
          <t>EXTRA</t>
        </is>
      </c>
      <c r="E99" s="63" t="inlineStr">
        <is>
          <t>VIDEO</t>
        </is>
      </c>
      <c r="F99" s="63" t="inlineStr">
        <is>
          <t>maicao</t>
        </is>
      </c>
      <c r="G99" s="63" t="inlineStr">
        <is>
          <t>repost bienvenida check</t>
        </is>
      </c>
      <c r="H99" s="63" t="str"/>
      <c r="I99" s="63" t="str"/>
      <c r="J99" s="63" t="str"/>
      <c r="K99" s="63" t="n">
        <v>274252</v>
      </c>
      <c r="L99" s="63" t="n">
        <v>258200</v>
      </c>
      <c r="M99" s="63" t="n">
        <v>7070</v>
      </c>
      <c r="N99" s="63" t="n">
        <v>79</v>
      </c>
      <c r="O99" s="63" t="n">
        <v>82</v>
      </c>
      <c r="P99" s="63" t="n">
        <v>0</v>
      </c>
      <c r="Q99" s="63" t="n">
        <v>137</v>
      </c>
      <c r="R99" s="63" t="n">
        <v>0</v>
      </c>
      <c r="S99" s="63" t="n">
        <v>0</v>
      </c>
      <c r="T99" s="63" t="n">
        <v>7368</v>
      </c>
      <c r="U99" s="63" t="n">
        <v>2.853601859</v>
      </c>
      <c r="V99" s="63" t="str"/>
      <c r="W99" s="63" t="n">
        <v>0</v>
      </c>
      <c r="X99" s="63" t="str"/>
      <c r="Y99" s="63" t="inlineStr">
        <is>
          <t>Sí</t>
        </is>
      </c>
      <c r="Z99" s="63" t="inlineStr">
        <is>
          <t>Sí</t>
        </is>
      </c>
      <c r="AA99" s="63" t="inlineStr">
        <is>
          <t>No</t>
        </is>
      </c>
      <c r="AB99" s="63" t="inlineStr">
        <is>
          <t>No</t>
        </is>
      </c>
      <c r="AC99" s="63" t="str"/>
      <c r="AD99" s="64" t="str"/>
    </row>
    <row r="100">
      <c r="A100" s="62" t="inlineStr">
        <is>
          <t>Marzo 2026</t>
        </is>
      </c>
      <c r="B100" s="63" t="n"/>
      <c r="C100" s="63" t="inlineStr">
        <is>
          <t>TikTok</t>
        </is>
      </c>
      <c r="D100" s="63" t="inlineStr">
        <is>
          <t>UGC</t>
        </is>
      </c>
      <c r="E100" s="63" t="inlineStr">
        <is>
          <t>VIDEO</t>
        </is>
      </c>
      <c r="F100" s="63" t="inlineStr">
        <is>
          <t>maicao</t>
        </is>
      </c>
      <c r="G100" s="63" t="inlineStr">
        <is>
          <t>8M</t>
        </is>
      </c>
      <c r="H100" s="63" t="str"/>
      <c r="I100" s="63" t="str"/>
      <c r="J100" s="63" t="str"/>
      <c r="K100" s="63" t="n">
        <v>4455</v>
      </c>
      <c r="L100" s="63" t="n">
        <v>4200</v>
      </c>
      <c r="M100" s="63" t="n">
        <v>167</v>
      </c>
      <c r="N100" s="63" t="n">
        <v>8</v>
      </c>
      <c r="O100" s="63" t="n">
        <v>4</v>
      </c>
      <c r="P100" s="63" t="n">
        <v>0</v>
      </c>
      <c r="Q100" s="63" t="n">
        <v>8</v>
      </c>
      <c r="R100" s="63" t="n">
        <v>0</v>
      </c>
      <c r="S100" s="63" t="n">
        <v>0</v>
      </c>
      <c r="T100" s="63" t="n">
        <v>187</v>
      </c>
      <c r="U100" s="63" t="n">
        <v>4.452380952</v>
      </c>
      <c r="V100" s="63" t="str"/>
      <c r="W100" s="63" t="n">
        <v>0</v>
      </c>
      <c r="X100" s="63" t="str"/>
      <c r="Y100" s="63" t="inlineStr">
        <is>
          <t>Sí</t>
        </is>
      </c>
      <c r="Z100" s="63" t="inlineStr">
        <is>
          <t>Sí</t>
        </is>
      </c>
      <c r="AA100" s="63" t="inlineStr">
        <is>
          <t>No</t>
        </is>
      </c>
      <c r="AB100" s="63" t="inlineStr">
        <is>
          <t>No</t>
        </is>
      </c>
      <c r="AC100" s="63" t="str"/>
      <c r="AD100" s="64" t="str"/>
    </row>
    <row r="101">
      <c r="A101" s="62" t="inlineStr">
        <is>
          <t>Marzo 2026</t>
        </is>
      </c>
      <c r="B101" s="63" t="n"/>
      <c r="C101" s="63" t="inlineStr">
        <is>
          <t>TikTok</t>
        </is>
      </c>
      <c r="D101" s="63" t="inlineStr">
        <is>
          <t>UGC</t>
        </is>
      </c>
      <c r="E101" s="63" t="inlineStr">
        <is>
          <t>VIDEO</t>
        </is>
      </c>
      <c r="F101" s="63" t="inlineStr">
        <is>
          <t>maicao</t>
        </is>
      </c>
      <c r="G101" s="63" t="inlineStr">
        <is>
          <t>Hábitos para tu piel</t>
        </is>
      </c>
      <c r="H101" s="63" t="str"/>
      <c r="I101" s="63" t="str"/>
      <c r="J101" s="63" t="str"/>
      <c r="K101" s="63" t="n">
        <v>978</v>
      </c>
      <c r="L101" s="63" t="n">
        <v>250300</v>
      </c>
      <c r="M101" s="63" t="n">
        <v>978</v>
      </c>
      <c r="N101" s="63" t="n">
        <v>3</v>
      </c>
      <c r="O101" s="63" t="n">
        <v>24</v>
      </c>
      <c r="P101" s="63" t="n">
        <v>0</v>
      </c>
      <c r="Q101" s="63" t="n">
        <v>385</v>
      </c>
      <c r="R101" s="63" t="n">
        <v>0</v>
      </c>
      <c r="S101" s="63" t="n">
        <v>0</v>
      </c>
      <c r="T101" s="63" t="n">
        <v>1390</v>
      </c>
      <c r="U101" s="63" t="n">
        <v>0.5553335997</v>
      </c>
      <c r="V101" s="63" t="str"/>
      <c r="W101" s="63" t="n">
        <v>0</v>
      </c>
      <c r="X101" s="63" t="str"/>
      <c r="Y101" s="63" t="inlineStr">
        <is>
          <t>Sí</t>
        </is>
      </c>
      <c r="Z101" s="63" t="inlineStr">
        <is>
          <t>Sí</t>
        </is>
      </c>
      <c r="AA101" s="63" t="inlineStr">
        <is>
          <t>No</t>
        </is>
      </c>
      <c r="AB101" s="63" t="inlineStr">
        <is>
          <t>No</t>
        </is>
      </c>
      <c r="AC101" s="63" t="str"/>
      <c r="AD101" s="64" t="str"/>
    </row>
    <row r="102">
      <c r="A102" s="62" t="inlineStr">
        <is>
          <t>Marzo 2026</t>
        </is>
      </c>
      <c r="B102" s="63" t="n"/>
      <c r="C102" s="63" t="inlineStr">
        <is>
          <t>TikTok</t>
        </is>
      </c>
      <c r="D102" s="63" t="inlineStr">
        <is>
          <t>UGC</t>
        </is>
      </c>
      <c r="E102" s="63" t="inlineStr">
        <is>
          <t>VIDEO</t>
        </is>
      </c>
      <c r="F102" s="63" t="inlineStr">
        <is>
          <t>maicao</t>
        </is>
      </c>
      <c r="G102" s="63" t="inlineStr">
        <is>
          <t>sobreviviendo al verano cap 4</t>
        </is>
      </c>
      <c r="H102" s="63" t="str"/>
      <c r="I102" s="63" t="str"/>
      <c r="J102" s="63" t="str"/>
      <c r="K102" s="63" t="n">
        <v>777</v>
      </c>
      <c r="L102" s="63" t="n">
        <v>673</v>
      </c>
      <c r="M102" s="63" t="n">
        <v>32</v>
      </c>
      <c r="N102" s="63" t="n">
        <v>3</v>
      </c>
      <c r="O102" s="63" t="n">
        <v>4</v>
      </c>
      <c r="P102" s="63" t="n">
        <v>0</v>
      </c>
      <c r="Q102" s="63" t="n">
        <v>3</v>
      </c>
      <c r="R102" s="63" t="n">
        <v>0</v>
      </c>
      <c r="S102" s="63" t="n">
        <v>0</v>
      </c>
      <c r="T102" s="63" t="n">
        <v>42</v>
      </c>
      <c r="U102" s="63" t="n">
        <v>6.240713224</v>
      </c>
      <c r="V102" s="63" t="str"/>
      <c r="W102" s="63" t="n">
        <v>0</v>
      </c>
      <c r="X102" s="63" t="str"/>
      <c r="Y102" s="63" t="inlineStr">
        <is>
          <t>Sí</t>
        </is>
      </c>
      <c r="Z102" s="63" t="inlineStr">
        <is>
          <t>Sí</t>
        </is>
      </c>
      <c r="AA102" s="63" t="inlineStr">
        <is>
          <t>No</t>
        </is>
      </c>
      <c r="AB102" s="63" t="inlineStr">
        <is>
          <t>No</t>
        </is>
      </c>
      <c r="AC102" s="63" t="str"/>
      <c r="AD102" s="64" t="str"/>
    </row>
    <row r="103">
      <c r="A103" s="62" t="inlineStr">
        <is>
          <t>Marzo 2026</t>
        </is>
      </c>
      <c r="B103" s="63" t="n"/>
      <c r="C103" s="63" t="inlineStr">
        <is>
          <t>TikTok</t>
        </is>
      </c>
      <c r="D103" s="63" t="inlineStr">
        <is>
          <t>UGC</t>
        </is>
      </c>
      <c r="E103" s="63" t="inlineStr">
        <is>
          <t>VIDEO</t>
        </is>
      </c>
      <c r="F103" s="63" t="inlineStr">
        <is>
          <t>maicao</t>
        </is>
      </c>
      <c r="G103" s="63" t="inlineStr">
        <is>
          <t>skala</t>
        </is>
      </c>
      <c r="H103" s="63" t="str"/>
      <c r="I103" s="63" t="str"/>
      <c r="J103" s="63" t="str"/>
      <c r="K103" s="63" t="n">
        <v>437634</v>
      </c>
      <c r="L103" s="63" t="n">
        <v>142600</v>
      </c>
      <c r="M103" s="63" t="n">
        <v>149</v>
      </c>
      <c r="N103" s="63" t="n">
        <v>8</v>
      </c>
      <c r="O103" s="63" t="n">
        <v>10</v>
      </c>
      <c r="P103" s="63" t="n">
        <v>0</v>
      </c>
      <c r="Q103" s="63" t="n">
        <v>24</v>
      </c>
      <c r="R103" s="63" t="n">
        <v>0</v>
      </c>
      <c r="S103" s="63" t="n">
        <v>0</v>
      </c>
      <c r="T103" s="63" t="n">
        <v>191</v>
      </c>
      <c r="U103" s="63" t="n">
        <v>0.133941094</v>
      </c>
      <c r="V103" s="63" t="str"/>
      <c r="W103" s="63" t="n">
        <v>0</v>
      </c>
      <c r="X103" s="63" t="str"/>
      <c r="Y103" s="63" t="inlineStr">
        <is>
          <t>Sí</t>
        </is>
      </c>
      <c r="Z103" s="63" t="inlineStr">
        <is>
          <t>Sí</t>
        </is>
      </c>
      <c r="AA103" s="63" t="inlineStr">
        <is>
          <t>No</t>
        </is>
      </c>
      <c r="AB103" s="63" t="inlineStr">
        <is>
          <t>No</t>
        </is>
      </c>
      <c r="AC103" s="63" t="str"/>
      <c r="AD103" s="64" t="str"/>
    </row>
    <row r="104">
      <c r="A104" s="62" t="inlineStr">
        <is>
          <t>Marzo 2026</t>
        </is>
      </c>
      <c r="B104" s="63" t="n"/>
      <c r="C104" s="63" t="inlineStr">
        <is>
          <t>TikTok</t>
        </is>
      </c>
      <c r="D104" s="63" t="inlineStr">
        <is>
          <t>CAMPAÑA COLOR CRUSH</t>
        </is>
      </c>
      <c r="E104" s="63" t="inlineStr">
        <is>
          <t>VIDEO</t>
        </is>
      </c>
      <c r="F104" s="63" t="inlineStr">
        <is>
          <t>maicao</t>
        </is>
      </c>
      <c r="G104" s="63" t="inlineStr">
        <is>
          <t>color crush</t>
        </is>
      </c>
      <c r="H104" s="63" t="str"/>
      <c r="I104" s="63" t="str"/>
      <c r="J104" s="63" t="str"/>
      <c r="K104" s="63" t="n">
        <v>933</v>
      </c>
      <c r="L104" s="63" t="n">
        <v>788</v>
      </c>
      <c r="M104" s="63" t="n">
        <v>45</v>
      </c>
      <c r="N104" s="63" t="n">
        <v>9</v>
      </c>
      <c r="O104" s="63" t="n">
        <v>4</v>
      </c>
      <c r="P104" s="63" t="n">
        <v>0</v>
      </c>
      <c r="Q104" s="63" t="n">
        <v>4</v>
      </c>
      <c r="R104" s="63" t="n">
        <v>0</v>
      </c>
      <c r="S104" s="63" t="n">
        <v>0</v>
      </c>
      <c r="T104" s="63" t="n">
        <v>62</v>
      </c>
      <c r="U104" s="63" t="n">
        <v>7.868020305</v>
      </c>
      <c r="V104" s="63" t="str"/>
      <c r="W104" s="63" t="n">
        <v>0</v>
      </c>
      <c r="X104" s="63" t="str"/>
      <c r="Y104" s="63" t="inlineStr">
        <is>
          <t>Sí</t>
        </is>
      </c>
      <c r="Z104" s="63" t="inlineStr">
        <is>
          <t>Sí</t>
        </is>
      </c>
      <c r="AA104" s="63" t="inlineStr">
        <is>
          <t>No</t>
        </is>
      </c>
      <c r="AB104" s="63" t="inlineStr">
        <is>
          <t>No</t>
        </is>
      </c>
      <c r="AC104" s="63" t="str"/>
      <c r="AD104" s="64" t="str"/>
    </row>
    <row r="105">
      <c r="A105" s="62" t="inlineStr">
        <is>
          <t>Marzo 2026</t>
        </is>
      </c>
      <c r="B105" s="63" t="n"/>
      <c r="C105" s="63" t="inlineStr">
        <is>
          <t>TikTok</t>
        </is>
      </c>
      <c r="D105" s="63" t="inlineStr">
        <is>
          <t>EGC</t>
        </is>
      </c>
      <c r="E105" s="63" t="inlineStr">
        <is>
          <t>VIDEO</t>
        </is>
      </c>
      <c r="F105" s="63" t="inlineStr">
        <is>
          <t>maicao</t>
        </is>
      </c>
      <c r="G105" s="63" t="inlineStr">
        <is>
          <t>ofertas desde $1000</t>
        </is>
      </c>
      <c r="H105" s="63" t="str"/>
      <c r="I105" s="63" t="str"/>
      <c r="J105" s="63" t="str"/>
      <c r="K105" s="63" t="n">
        <v>377300</v>
      </c>
      <c r="L105" s="63" t="n">
        <v>156400</v>
      </c>
      <c r="M105" s="63" t="n">
        <v>580</v>
      </c>
      <c r="N105" s="63" t="n">
        <v>9</v>
      </c>
      <c r="O105" s="63" t="n">
        <v>47</v>
      </c>
      <c r="P105" s="63" t="n">
        <v>0</v>
      </c>
      <c r="Q105" s="63" t="n">
        <v>37</v>
      </c>
      <c r="R105" s="63" t="n">
        <v>0</v>
      </c>
      <c r="S105" s="63" t="n">
        <v>0</v>
      </c>
      <c r="T105" s="63" t="n">
        <v>673</v>
      </c>
      <c r="U105" s="63" t="n">
        <v>0.4303069054</v>
      </c>
      <c r="V105" s="63" t="str"/>
      <c r="W105" s="63" t="n">
        <v>0</v>
      </c>
      <c r="X105" s="63" t="str"/>
      <c r="Y105" s="63" t="inlineStr">
        <is>
          <t>Sí</t>
        </is>
      </c>
      <c r="Z105" s="63" t="inlineStr">
        <is>
          <t>Sí</t>
        </is>
      </c>
      <c r="AA105" s="63" t="inlineStr">
        <is>
          <t>No</t>
        </is>
      </c>
      <c r="AB105" s="63" t="inlineStr">
        <is>
          <t>No</t>
        </is>
      </c>
      <c r="AC105" s="63" t="str"/>
      <c r="AD105" s="64" t="str"/>
    </row>
    <row r="106">
      <c r="A106" s="62" t="inlineStr">
        <is>
          <t>Marzo 2026</t>
        </is>
      </c>
      <c r="B106" s="63" t="n"/>
      <c r="C106" s="63" t="inlineStr">
        <is>
          <t>TikTok</t>
        </is>
      </c>
      <c r="D106" s="63" t="inlineStr">
        <is>
          <t>UGC</t>
        </is>
      </c>
      <c r="E106" s="63" t="inlineStr">
        <is>
          <t>VIDEO</t>
        </is>
      </c>
      <c r="F106" s="63" t="inlineStr">
        <is>
          <t>maicao</t>
        </is>
      </c>
      <c r="G106" s="63" t="inlineStr">
        <is>
          <t>máscara pestañas bubble</t>
        </is>
      </c>
      <c r="H106" s="63" t="str"/>
      <c r="I106" s="63" t="str"/>
      <c r="J106" s="63" t="str"/>
      <c r="K106" s="63" t="n">
        <v>381020</v>
      </c>
      <c r="L106" s="63" t="n">
        <v>152900</v>
      </c>
      <c r="M106" s="63" t="n">
        <v>175</v>
      </c>
      <c r="N106" s="63" t="n">
        <v>9</v>
      </c>
      <c r="O106" s="63" t="n">
        <v>8</v>
      </c>
      <c r="P106" s="63" t="n">
        <v>27</v>
      </c>
      <c r="Q106" s="63" t="n">
        <v>0</v>
      </c>
      <c r="R106" s="63" t="n">
        <v>0</v>
      </c>
      <c r="S106" s="63" t="n">
        <v>0</v>
      </c>
      <c r="T106" s="63" t="n">
        <v>219</v>
      </c>
      <c r="U106" s="63" t="n">
        <v>0.1432308698</v>
      </c>
      <c r="V106" s="63" t="str"/>
      <c r="W106" s="63" t="n">
        <v>0</v>
      </c>
      <c r="X106" s="63" t="str"/>
      <c r="Y106" s="63" t="inlineStr">
        <is>
          <t>Sí</t>
        </is>
      </c>
      <c r="Z106" s="63" t="inlineStr">
        <is>
          <t>Sí</t>
        </is>
      </c>
      <c r="AA106" s="63" t="inlineStr">
        <is>
          <t>No</t>
        </is>
      </c>
      <c r="AB106" s="63" t="inlineStr">
        <is>
          <t>No</t>
        </is>
      </c>
      <c r="AC106" s="63" t="str"/>
      <c r="AD106" s="64" t="str"/>
    </row>
    <row r="107">
      <c r="A107" s="62" t="inlineStr">
        <is>
          <t>Marzo 2026</t>
        </is>
      </c>
      <c r="B107" s="63" t="n"/>
      <c r="C107" s="63" t="inlineStr">
        <is>
          <t>TikTok</t>
        </is>
      </c>
      <c r="D107" s="63" t="inlineStr">
        <is>
          <t>UGC</t>
        </is>
      </c>
      <c r="E107" s="63" t="inlineStr">
        <is>
          <t>VIDEO</t>
        </is>
      </c>
      <c r="F107" s="63" t="inlineStr">
        <is>
          <t>maicao</t>
        </is>
      </c>
      <c r="G107" s="63" t="inlineStr">
        <is>
          <t>eres mi cosmetiquero</t>
        </is>
      </c>
      <c r="H107" s="63" t="str"/>
      <c r="I107" s="63" t="str"/>
      <c r="J107" s="63" t="str"/>
      <c r="K107" s="63" t="n">
        <v>394100</v>
      </c>
      <c r="L107" s="63" t="n">
        <v>158800</v>
      </c>
      <c r="M107" s="63" t="n">
        <v>135</v>
      </c>
      <c r="N107" s="63" t="n">
        <v>4</v>
      </c>
      <c r="O107" s="63" t="n">
        <v>4</v>
      </c>
      <c r="P107" s="63" t="n">
        <v>0</v>
      </c>
      <c r="Q107" s="63" t="n">
        <v>19</v>
      </c>
      <c r="R107" s="63" t="n">
        <v>0</v>
      </c>
      <c r="S107" s="63" t="n">
        <v>0</v>
      </c>
      <c r="T107" s="63" t="n">
        <v>162</v>
      </c>
      <c r="U107" s="63" t="n">
        <v>0.1020151134</v>
      </c>
      <c r="V107" s="63" t="str"/>
      <c r="W107" s="63" t="n">
        <v>0</v>
      </c>
      <c r="X107" s="63" t="str"/>
      <c r="Y107" s="63" t="inlineStr">
        <is>
          <t>Sí</t>
        </is>
      </c>
      <c r="Z107" s="63" t="inlineStr">
        <is>
          <t>Sí</t>
        </is>
      </c>
      <c r="AA107" s="63" t="inlineStr">
        <is>
          <t>No</t>
        </is>
      </c>
      <c r="AB107" s="63" t="inlineStr">
        <is>
          <t>No</t>
        </is>
      </c>
      <c r="AC107" s="63" t="str"/>
      <c r="AD107" s="64" t="str"/>
    </row>
    <row r="108">
      <c r="A108" s="62" t="inlineStr">
        <is>
          <t>Marzo 2026</t>
        </is>
      </c>
      <c r="B108" s="63" t="n"/>
      <c r="C108" s="63" t="inlineStr">
        <is>
          <t>TikTok</t>
        </is>
      </c>
      <c r="D108" s="63" t="inlineStr">
        <is>
          <t>UGC</t>
        </is>
      </c>
      <c r="E108" s="63" t="inlineStr">
        <is>
          <t>VIDEO</t>
        </is>
      </c>
      <c r="F108" s="63" t="inlineStr">
        <is>
          <t>maicao</t>
        </is>
      </c>
      <c r="G108" s="63" t="inlineStr">
        <is>
          <t xml:space="preserve">makeup inspo para la u </t>
        </is>
      </c>
      <c r="H108" s="63" t="str"/>
      <c r="I108" s="63" t="str"/>
      <c r="J108" s="63" t="str"/>
      <c r="K108" s="63" t="n">
        <v>484200</v>
      </c>
      <c r="L108" s="63" t="n">
        <v>225200</v>
      </c>
      <c r="M108" s="63" t="n">
        <v>237</v>
      </c>
      <c r="N108" s="63" t="n">
        <v>3</v>
      </c>
      <c r="O108" s="63" t="n">
        <v>12</v>
      </c>
      <c r="P108" s="63" t="n">
        <v>0</v>
      </c>
      <c r="Q108" s="63" t="n">
        <v>23</v>
      </c>
      <c r="R108" s="63" t="n">
        <v>0</v>
      </c>
      <c r="S108" s="63" t="n">
        <v>0</v>
      </c>
      <c r="T108" s="63" t="n">
        <v>275</v>
      </c>
      <c r="U108" s="63" t="n">
        <v>0.1221136767</v>
      </c>
      <c r="V108" s="63" t="str"/>
      <c r="W108" s="63" t="n">
        <v>0</v>
      </c>
      <c r="X108" s="63" t="str"/>
      <c r="Y108" s="63" t="inlineStr">
        <is>
          <t>Sí</t>
        </is>
      </c>
      <c r="Z108" s="63" t="inlineStr">
        <is>
          <t>Sí</t>
        </is>
      </c>
      <c r="AA108" s="63" t="inlineStr">
        <is>
          <t>No</t>
        </is>
      </c>
      <c r="AB108" s="63" t="inlineStr">
        <is>
          <t>No</t>
        </is>
      </c>
      <c r="AC108" s="63" t="str"/>
      <c r="AD108" s="64" t="str"/>
    </row>
    <row r="109">
      <c r="A109" s="62" t="inlineStr">
        <is>
          <t>Marzo 2026</t>
        </is>
      </c>
      <c r="B109" s="63" t="n"/>
      <c r="C109" s="63" t="inlineStr">
        <is>
          <t>TikTok</t>
        </is>
      </c>
      <c r="D109" s="63" t="inlineStr">
        <is>
          <t>UGC</t>
        </is>
      </c>
      <c r="E109" s="63" t="inlineStr">
        <is>
          <t>VIDEO</t>
        </is>
      </c>
      <c r="F109" s="63" t="inlineStr">
        <is>
          <t>maicao</t>
        </is>
      </c>
      <c r="G109" s="63" t="inlineStr">
        <is>
          <t>maquillaje para principiantes</t>
        </is>
      </c>
      <c r="H109" s="63" t="str"/>
      <c r="I109" s="63" t="str"/>
      <c r="J109" s="63" t="str"/>
      <c r="K109" s="63" t="n">
        <v>106770</v>
      </c>
      <c r="L109" s="63" t="n">
        <v>70000</v>
      </c>
      <c r="M109" s="63" t="n">
        <v>2165</v>
      </c>
      <c r="N109" s="63" t="n">
        <v>16</v>
      </c>
      <c r="O109" s="63" t="n">
        <v>80</v>
      </c>
      <c r="P109" s="63" t="n">
        <v>0</v>
      </c>
      <c r="Q109" s="63" t="n">
        <v>615</v>
      </c>
      <c r="R109" s="63" t="n">
        <v>0</v>
      </c>
      <c r="S109" s="63" t="n">
        <v>0</v>
      </c>
      <c r="T109" s="63" t="n">
        <v>2876</v>
      </c>
      <c r="U109" s="63" t="n">
        <v>4.108571429</v>
      </c>
      <c r="V109" s="63" t="str"/>
      <c r="W109" s="63" t="n">
        <v>0</v>
      </c>
      <c r="X109" s="63" t="str"/>
      <c r="Y109" s="63" t="inlineStr">
        <is>
          <t>Sí</t>
        </is>
      </c>
      <c r="Z109" s="63" t="inlineStr">
        <is>
          <t>Sí</t>
        </is>
      </c>
      <c r="AA109" s="63" t="inlineStr">
        <is>
          <t>No</t>
        </is>
      </c>
      <c r="AB109" s="63" t="inlineStr">
        <is>
          <t>No</t>
        </is>
      </c>
      <c r="AC109" s="63" t="str"/>
      <c r="AD109" s="64" t="str"/>
    </row>
    <row r="110">
      <c r="A110" s="62" t="inlineStr">
        <is>
          <t>Marzo 2026</t>
        </is>
      </c>
      <c r="B110" s="63" t="n"/>
      <c r="C110" s="63" t="inlineStr">
        <is>
          <t>TikTok</t>
        </is>
      </c>
      <c r="D110" s="63" t="inlineStr">
        <is>
          <t>UGC</t>
        </is>
      </c>
      <c r="E110" s="63" t="inlineStr">
        <is>
          <t>VIDEO</t>
        </is>
      </c>
      <c r="F110" s="63" t="inlineStr">
        <is>
          <t>maicao</t>
        </is>
      </c>
      <c r="G110" s="63" t="inlineStr">
        <is>
          <t>rutina nocturna para clases</t>
        </is>
      </c>
      <c r="H110" s="63" t="str"/>
      <c r="I110" s="63" t="str"/>
      <c r="J110" s="63" t="str"/>
      <c r="K110" s="63" t="n">
        <v>66465</v>
      </c>
      <c r="L110" s="63" t="n">
        <v>44700</v>
      </c>
      <c r="M110" s="63" t="n">
        <v>745</v>
      </c>
      <c r="N110" s="63" t="n">
        <v>15</v>
      </c>
      <c r="O110" s="63" t="n">
        <v>50</v>
      </c>
      <c r="P110" s="63" t="n">
        <v>0</v>
      </c>
      <c r="Q110" s="63" t="n">
        <v>158</v>
      </c>
      <c r="R110" s="63" t="n">
        <v>0</v>
      </c>
      <c r="S110" s="63" t="n">
        <v>0</v>
      </c>
      <c r="T110" s="63" t="n">
        <v>968</v>
      </c>
      <c r="U110" s="63" t="n">
        <v>2.165548098</v>
      </c>
      <c r="V110" s="63" t="str"/>
      <c r="W110" s="63" t="n">
        <v>0</v>
      </c>
      <c r="X110" s="63" t="str"/>
      <c r="Y110" s="63" t="inlineStr">
        <is>
          <t>Sí</t>
        </is>
      </c>
      <c r="Z110" s="63" t="inlineStr">
        <is>
          <t>Sí</t>
        </is>
      </c>
      <c r="AA110" s="63" t="inlineStr">
        <is>
          <t>No</t>
        </is>
      </c>
      <c r="AB110" s="63" t="inlineStr">
        <is>
          <t>No</t>
        </is>
      </c>
      <c r="AC110" s="63" t="str"/>
      <c r="AD110" s="64" t="str"/>
    </row>
    <row r="111">
      <c r="A111" s="62" t="inlineStr">
        <is>
          <t>Marzo 2026</t>
        </is>
      </c>
      <c r="B111" s="63" t="n"/>
      <c r="C111" s="63" t="inlineStr">
        <is>
          <t>TikTok</t>
        </is>
      </c>
      <c r="D111" s="63" t="inlineStr">
        <is>
          <t>SAMY</t>
        </is>
      </c>
      <c r="E111" s="63" t="inlineStr">
        <is>
          <t>VIDEO</t>
        </is>
      </c>
      <c r="F111" s="63" t="inlineStr">
        <is>
          <t>maicao</t>
        </is>
      </c>
      <c r="G111" s="63" t="inlineStr">
        <is>
          <t>make up look otoñal</t>
        </is>
      </c>
      <c r="H111" s="63" t="str"/>
      <c r="I111" s="63" t="str"/>
      <c r="J111" s="63" t="str"/>
      <c r="K111" s="63" t="n">
        <v>717</v>
      </c>
      <c r="L111" s="63" t="n">
        <v>632</v>
      </c>
      <c r="M111" s="63" t="n">
        <v>40</v>
      </c>
      <c r="N111" s="63" t="n">
        <v>5</v>
      </c>
      <c r="O111" s="63" t="n">
        <v>2</v>
      </c>
      <c r="P111" s="63" t="n">
        <v>0</v>
      </c>
      <c r="Q111" s="63" t="n">
        <v>2</v>
      </c>
      <c r="R111" s="63" t="n">
        <v>0</v>
      </c>
      <c r="S111" s="63" t="n">
        <v>0</v>
      </c>
      <c r="T111" s="63" t="n">
        <v>49</v>
      </c>
      <c r="U111" s="63" t="n">
        <v>7.753164557</v>
      </c>
      <c r="V111" s="63" t="str"/>
      <c r="W111" s="63" t="n">
        <v>0</v>
      </c>
      <c r="X111" s="63" t="str"/>
      <c r="Y111" s="63" t="inlineStr">
        <is>
          <t>Sí</t>
        </is>
      </c>
      <c r="Z111" s="63" t="inlineStr">
        <is>
          <t>Sí</t>
        </is>
      </c>
      <c r="AA111" s="63" t="inlineStr">
        <is>
          <t>No</t>
        </is>
      </c>
      <c r="AB111" s="63" t="inlineStr">
        <is>
          <t>No</t>
        </is>
      </c>
      <c r="AC111" s="63" t="str"/>
      <c r="AD111" s="64" t="str"/>
    </row>
    <row r="112">
      <c r="A112" s="62" t="inlineStr">
        <is>
          <t>Marzo 2026</t>
        </is>
      </c>
      <c r="B112" s="63" t="n"/>
      <c r="C112" s="63" t="inlineStr">
        <is>
          <t>TikTok</t>
        </is>
      </c>
      <c r="D112" s="63" t="inlineStr">
        <is>
          <t>CONCURSO</t>
        </is>
      </c>
      <c r="E112" s="63" t="inlineStr">
        <is>
          <t>VIDEO</t>
        </is>
      </c>
      <c r="F112" s="63" t="inlineStr">
        <is>
          <t>maicao</t>
        </is>
      </c>
      <c r="G112" s="63" t="inlineStr">
        <is>
          <t>concurso bolso maquillaje</t>
        </is>
      </c>
      <c r="H112" s="63" t="str"/>
      <c r="I112" s="63" t="str"/>
      <c r="J112" s="63" t="str"/>
      <c r="K112" s="63" t="n">
        <v>1253</v>
      </c>
      <c r="L112" s="63" t="n">
        <v>999</v>
      </c>
      <c r="M112" s="63" t="n">
        <v>75</v>
      </c>
      <c r="N112" s="63" t="n">
        <v>100</v>
      </c>
      <c r="O112" s="63" t="n">
        <v>48</v>
      </c>
      <c r="P112" s="63" t="n">
        <v>0</v>
      </c>
      <c r="Q112" s="63" t="n">
        <v>6</v>
      </c>
      <c r="R112" s="63" t="n">
        <v>0</v>
      </c>
      <c r="S112" s="63" t="n">
        <v>0</v>
      </c>
      <c r="T112" s="63" t="n">
        <v>229</v>
      </c>
      <c r="U112" s="63" t="n">
        <v>22.92292292</v>
      </c>
      <c r="V112" s="63" t="str"/>
      <c r="W112" s="63" t="n">
        <v>0</v>
      </c>
      <c r="X112" s="63" t="str"/>
      <c r="Y112" s="63" t="inlineStr">
        <is>
          <t>Sí</t>
        </is>
      </c>
      <c r="Z112" s="63" t="inlineStr">
        <is>
          <t>Sí</t>
        </is>
      </c>
      <c r="AA112" s="63" t="inlineStr">
        <is>
          <t>No</t>
        </is>
      </c>
      <c r="AB112" s="63" t="inlineStr">
        <is>
          <t>No</t>
        </is>
      </c>
      <c r="AC112" s="63" t="str"/>
      <c r="AD112" s="64" t="str"/>
    </row>
    <row r="113">
      <c r="A113" s="62" t="inlineStr">
        <is>
          <t>Marzo 2026</t>
        </is>
      </c>
      <c r="B113" s="63" t="n"/>
      <c r="C113" s="63" t="inlineStr">
        <is>
          <t>TikTok</t>
        </is>
      </c>
      <c r="D113" s="63" t="inlineStr">
        <is>
          <t>UGC</t>
        </is>
      </c>
      <c r="E113" s="63" t="inlineStr">
        <is>
          <t>VIDEO</t>
        </is>
      </c>
      <c r="F113" s="63" t="inlineStr">
        <is>
          <t>maicao</t>
        </is>
      </c>
      <c r="G113" s="63" t="inlineStr">
        <is>
          <t>top cosas que me hacen feliz</t>
        </is>
      </c>
      <c r="H113" s="63" t="str"/>
      <c r="I113" s="63" t="str"/>
      <c r="J113" s="63" t="str"/>
      <c r="K113" s="63" t="n">
        <v>944</v>
      </c>
      <c r="L113" s="63" t="n">
        <v>817</v>
      </c>
      <c r="M113" s="63" t="n">
        <v>42</v>
      </c>
      <c r="N113" s="63" t="n">
        <v>2</v>
      </c>
      <c r="O113" s="63" t="n">
        <v>0</v>
      </c>
      <c r="P113" s="63" t="n">
        <v>0</v>
      </c>
      <c r="Q113" s="63" t="n">
        <v>5</v>
      </c>
      <c r="R113" s="63" t="n">
        <v>0</v>
      </c>
      <c r="S113" s="63" t="n">
        <v>0</v>
      </c>
      <c r="T113" s="63" t="n">
        <v>49</v>
      </c>
      <c r="U113" s="63" t="n">
        <v>5.99755202</v>
      </c>
      <c r="V113" s="63" t="str"/>
      <c r="W113" s="63" t="n">
        <v>0</v>
      </c>
      <c r="X113" s="63" t="str"/>
      <c r="Y113" s="63" t="inlineStr">
        <is>
          <t>Sí</t>
        </is>
      </c>
      <c r="Z113" s="63" t="inlineStr">
        <is>
          <t>Sí</t>
        </is>
      </c>
      <c r="AA113" s="63" t="inlineStr">
        <is>
          <t>No</t>
        </is>
      </c>
      <c r="AB113" s="63" t="inlineStr">
        <is>
          <t>No</t>
        </is>
      </c>
      <c r="AC113" s="63" t="str"/>
      <c r="AD113" s="64" t="str"/>
    </row>
    <row r="114">
      <c r="A114" s="62" t="inlineStr">
        <is>
          <t>Marzo 2026</t>
        </is>
      </c>
      <c r="B114" s="63" t="n"/>
      <c r="C114" s="63" t="inlineStr">
        <is>
          <t>TikTok</t>
        </is>
      </c>
      <c r="D114" s="63" t="inlineStr">
        <is>
          <t>EGC</t>
        </is>
      </c>
      <c r="E114" s="63" t="inlineStr">
        <is>
          <t>VIDEO</t>
        </is>
      </c>
      <c r="F114" s="63" t="inlineStr">
        <is>
          <t>maicao</t>
        </is>
      </c>
      <c r="G114" s="63" t="inlineStr">
        <is>
          <t>Garnier skin active</t>
        </is>
      </c>
      <c r="H114" s="63" t="str"/>
      <c r="I114" s="63" t="str"/>
      <c r="J114" s="63" t="str"/>
      <c r="K114" s="63" t="n">
        <v>15936</v>
      </c>
      <c r="L114" s="63" t="n">
        <v>14200</v>
      </c>
      <c r="M114" s="63" t="n">
        <v>396</v>
      </c>
      <c r="N114" s="63" t="n">
        <v>4</v>
      </c>
      <c r="O114" s="63" t="n">
        <v>50</v>
      </c>
      <c r="P114" s="63" t="n">
        <v>0</v>
      </c>
      <c r="Q114" s="63" t="n">
        <v>122</v>
      </c>
      <c r="R114" s="63" t="n">
        <v>0</v>
      </c>
      <c r="S114" s="63" t="n">
        <v>0</v>
      </c>
      <c r="T114" s="63" t="n">
        <v>572</v>
      </c>
      <c r="U114" s="63" t="n">
        <v>4.028169014</v>
      </c>
      <c r="V114" s="63" t="str"/>
      <c r="W114" s="63" t="n">
        <v>0</v>
      </c>
      <c r="X114" s="63" t="str"/>
      <c r="Y114" s="63" t="inlineStr">
        <is>
          <t>Sí</t>
        </is>
      </c>
      <c r="Z114" s="63" t="inlineStr">
        <is>
          <t>Sí</t>
        </is>
      </c>
      <c r="AA114" s="63" t="inlineStr">
        <is>
          <t>No</t>
        </is>
      </c>
      <c r="AB114" s="63" t="inlineStr">
        <is>
          <t>No</t>
        </is>
      </c>
      <c r="AC114" s="63" t="str"/>
      <c r="AD114" s="64" t="str"/>
    </row>
    <row r="115">
      <c r="A115" s="62" t="inlineStr">
        <is>
          <t>Marzo 2026</t>
        </is>
      </c>
      <c r="B115" s="63" t="n"/>
      <c r="C115" s="63" t="inlineStr">
        <is>
          <t>TikTok</t>
        </is>
      </c>
      <c r="D115" s="63" t="inlineStr">
        <is>
          <t>UGC</t>
        </is>
      </c>
      <c r="E115" s="63" t="inlineStr">
        <is>
          <t>VIDEO</t>
        </is>
      </c>
      <c r="F115" s="63" t="inlineStr">
        <is>
          <t>maicao</t>
        </is>
      </c>
      <c r="G115" s="63" t="inlineStr">
        <is>
          <t>review color crush</t>
        </is>
      </c>
      <c r="H115" s="63" t="str"/>
      <c r="I115" s="63" t="str"/>
      <c r="J115" s="63" t="str"/>
      <c r="K115" s="63" t="n">
        <v>681</v>
      </c>
      <c r="L115" s="63" t="n">
        <v>580</v>
      </c>
      <c r="M115" s="63" t="n">
        <v>40</v>
      </c>
      <c r="N115" s="63" t="n">
        <v>13</v>
      </c>
      <c r="O115" s="63" t="n">
        <v>11</v>
      </c>
      <c r="P115" s="63" t="n">
        <v>0</v>
      </c>
      <c r="Q115" s="63" t="n">
        <v>4</v>
      </c>
      <c r="R115" s="63" t="n">
        <v>0</v>
      </c>
      <c r="S115" s="63" t="n">
        <v>0</v>
      </c>
      <c r="T115" s="63" t="n">
        <v>68</v>
      </c>
      <c r="U115" s="63" t="n">
        <v>11.72413793</v>
      </c>
      <c r="V115" s="63" t="str"/>
      <c r="W115" s="63" t="n">
        <v>0</v>
      </c>
      <c r="X115" s="63" t="str"/>
      <c r="Y115" s="63" t="inlineStr">
        <is>
          <t>Sí</t>
        </is>
      </c>
      <c r="Z115" s="63" t="inlineStr">
        <is>
          <t>Sí</t>
        </is>
      </c>
      <c r="AA115" s="63" t="inlineStr">
        <is>
          <t>No</t>
        </is>
      </c>
      <c r="AB115" s="63" t="inlineStr">
        <is>
          <t>No</t>
        </is>
      </c>
      <c r="AC115" s="63" t="str"/>
      <c r="AD115" s="64" t="str"/>
    </row>
    <row r="116">
      <c r="A116" s="62" t="inlineStr">
        <is>
          <t>Marzo 2026</t>
        </is>
      </c>
      <c r="B116" s="63" t="n"/>
      <c r="C116" s="63" t="inlineStr">
        <is>
          <t>TikTok</t>
        </is>
      </c>
      <c r="D116" s="63" t="inlineStr">
        <is>
          <t>UGC</t>
        </is>
      </c>
      <c r="E116" s="63" t="inlineStr">
        <is>
          <t>VIDEO</t>
        </is>
      </c>
      <c r="F116" s="63" t="inlineStr">
        <is>
          <t>maicao</t>
        </is>
      </c>
      <c r="G116" s="63" t="inlineStr">
        <is>
          <t>hannah montana</t>
        </is>
      </c>
      <c r="H116" s="63" t="str"/>
      <c r="I116" s="63" t="str"/>
      <c r="J116" s="63" t="str"/>
      <c r="K116" s="63" t="n">
        <v>666</v>
      </c>
      <c r="L116" s="63" t="n">
        <v>554</v>
      </c>
      <c r="M116" s="63" t="n">
        <v>25</v>
      </c>
      <c r="N116" s="63" t="n">
        <v>1</v>
      </c>
      <c r="O116" s="63" t="n">
        <v>2</v>
      </c>
      <c r="P116" s="63" t="n">
        <v>0</v>
      </c>
      <c r="Q116" s="63" t="n">
        <v>1</v>
      </c>
      <c r="R116" s="63" t="n">
        <v>0</v>
      </c>
      <c r="S116" s="63" t="n">
        <v>0</v>
      </c>
      <c r="T116" s="63" t="n">
        <v>29</v>
      </c>
      <c r="U116" s="63" t="n">
        <v>5.23465704</v>
      </c>
      <c r="V116" s="63" t="str"/>
      <c r="W116" s="63" t="n">
        <v>0</v>
      </c>
      <c r="X116" s="63" t="str"/>
      <c r="Y116" s="63" t="inlineStr">
        <is>
          <t>Sí</t>
        </is>
      </c>
      <c r="Z116" s="63" t="inlineStr">
        <is>
          <t>Sí</t>
        </is>
      </c>
      <c r="AA116" s="63" t="inlineStr">
        <is>
          <t>No</t>
        </is>
      </c>
      <c r="AB116" s="63" t="inlineStr">
        <is>
          <t>No</t>
        </is>
      </c>
      <c r="AC116" s="63" t="str"/>
      <c r="AD116" s="64" t="str"/>
    </row>
    <row r="117">
      <c r="A117" s="62" t="inlineStr">
        <is>
          <t>Marzo 2026</t>
        </is>
      </c>
      <c r="B117" s="63" t="n"/>
      <c r="C117" s="63" t="inlineStr">
        <is>
          <t>TikTok</t>
        </is>
      </c>
      <c r="D117" s="63" t="inlineStr">
        <is>
          <t>UGC</t>
        </is>
      </c>
      <c r="E117" s="63" t="inlineStr">
        <is>
          <t>VIDEO</t>
        </is>
      </c>
      <c r="F117" s="63" t="inlineStr">
        <is>
          <t>maicao</t>
        </is>
      </c>
      <c r="G117" s="63" t="inlineStr">
        <is>
          <t>beauty 100</t>
        </is>
      </c>
      <c r="H117" s="63" t="str"/>
      <c r="I117" s="63" t="str"/>
      <c r="J117" s="63" t="str"/>
      <c r="K117" s="63" t="n">
        <v>1213</v>
      </c>
      <c r="L117" s="63" t="n">
        <v>1100</v>
      </c>
      <c r="M117" s="63" t="n">
        <v>44</v>
      </c>
      <c r="N117" s="63" t="n">
        <v>8</v>
      </c>
      <c r="O117" s="63" t="n">
        <v>9</v>
      </c>
      <c r="P117" s="63" t="n">
        <v>0</v>
      </c>
      <c r="Q117" s="63" t="n">
        <v>7</v>
      </c>
      <c r="R117" s="63" t="n">
        <v>0</v>
      </c>
      <c r="S117" s="63" t="n">
        <v>0</v>
      </c>
      <c r="T117" s="63" t="n">
        <v>68</v>
      </c>
      <c r="U117" s="63" t="n">
        <v>6.181818182</v>
      </c>
      <c r="V117" s="63" t="str"/>
      <c r="W117" s="63" t="n">
        <v>0</v>
      </c>
      <c r="X117" s="63" t="str"/>
      <c r="Y117" s="63" t="inlineStr">
        <is>
          <t>Sí</t>
        </is>
      </c>
      <c r="Z117" s="63" t="inlineStr">
        <is>
          <t>Sí</t>
        </is>
      </c>
      <c r="AA117" s="63" t="inlineStr">
        <is>
          <t>No</t>
        </is>
      </c>
      <c r="AB117" s="63" t="inlineStr">
        <is>
          <t>No</t>
        </is>
      </c>
      <c r="AC117" s="63" t="str"/>
      <c r="AD117" s="64" t="str"/>
    </row>
    <row r="118">
      <c r="A118" s="62" t="inlineStr">
        <is>
          <t>Marzo 2026</t>
        </is>
      </c>
      <c r="B118" s="63" t="n"/>
      <c r="C118" s="63" t="inlineStr">
        <is>
          <t>TikTok</t>
        </is>
      </c>
      <c r="D118" s="63" t="inlineStr">
        <is>
          <t>EGC</t>
        </is>
      </c>
      <c r="E118" s="63" t="inlineStr">
        <is>
          <t>VIDEO</t>
        </is>
      </c>
      <c r="F118" s="63" t="inlineStr">
        <is>
          <t>maicao</t>
        </is>
      </c>
      <c r="G118" s="63" t="inlineStr">
        <is>
          <t>Labiales petrizzio</t>
        </is>
      </c>
      <c r="H118" s="63" t="str"/>
      <c r="I118" s="63" t="str"/>
      <c r="J118" s="63" t="str"/>
      <c r="K118" s="63" t="n">
        <v>5688</v>
      </c>
      <c r="L118" s="63" t="n">
        <v>5500</v>
      </c>
      <c r="M118" s="63" t="n">
        <v>94</v>
      </c>
      <c r="N118" s="63" t="n">
        <v>9</v>
      </c>
      <c r="O118" s="63" t="n">
        <v>9</v>
      </c>
      <c r="P118" s="63" t="n">
        <v>0</v>
      </c>
      <c r="Q118" s="63" t="n">
        <v>9</v>
      </c>
      <c r="R118" s="63" t="n">
        <v>0</v>
      </c>
      <c r="S118" s="63" t="n">
        <v>0</v>
      </c>
      <c r="T118" s="63" t="n">
        <v>121</v>
      </c>
      <c r="U118" s="63" t="n">
        <v>2.2</v>
      </c>
      <c r="V118" s="63" t="str"/>
      <c r="W118" s="63" t="n">
        <v>0</v>
      </c>
      <c r="X118" s="63" t="str"/>
      <c r="Y118" s="63" t="inlineStr">
        <is>
          <t>Sí</t>
        </is>
      </c>
      <c r="Z118" s="63" t="inlineStr">
        <is>
          <t>Sí</t>
        </is>
      </c>
      <c r="AA118" s="63" t="inlineStr">
        <is>
          <t>No</t>
        </is>
      </c>
      <c r="AB118" s="63" t="inlineStr">
        <is>
          <t>No</t>
        </is>
      </c>
      <c r="AC118" s="63" t="str"/>
      <c r="AD118" s="64" t="str"/>
    </row>
    <row r="119">
      <c r="A119" s="62" t="inlineStr">
        <is>
          <t>Marzo 2026</t>
        </is>
      </c>
      <c r="B119" s="63" t="n"/>
      <c r="C119" s="63" t="inlineStr">
        <is>
          <t>Facebook</t>
        </is>
      </c>
      <c r="D119" s="63" t="inlineStr">
        <is>
          <t>CAMPAÑA</t>
        </is>
      </c>
      <c r="E119" s="63" t="inlineStr">
        <is>
          <t>POST</t>
        </is>
      </c>
      <c r="F119" s="63" t="inlineStr">
        <is>
          <t>maicao</t>
        </is>
      </c>
      <c r="G119" s="63" t="inlineStr">
        <is>
          <t>productos a 1000</t>
        </is>
      </c>
      <c r="H119" s="63" t="str"/>
      <c r="I119" s="63" t="str"/>
      <c r="J119" s="63" t="inlineStr">
        <is>
          <t>Alcance</t>
        </is>
      </c>
      <c r="K119" s="63" t="n">
        <v>836900</v>
      </c>
      <c r="L119" s="63" t="n">
        <v>438800</v>
      </c>
      <c r="M119" s="63" t="n">
        <v>466</v>
      </c>
      <c r="N119" s="63" t="n">
        <v>6</v>
      </c>
      <c r="O119" s="63" t="n">
        <v>0</v>
      </c>
      <c r="P119" s="63" t="n">
        <v>0</v>
      </c>
      <c r="Q119" s="63" t="n">
        <v>7</v>
      </c>
      <c r="R119" s="63" t="n">
        <v>0</v>
      </c>
      <c r="S119" s="63" t="n">
        <v>30</v>
      </c>
      <c r="T119" s="63" t="n">
        <v>509</v>
      </c>
      <c r="U119" s="63" t="n">
        <v>0.1159981768</v>
      </c>
      <c r="V119" s="63" t="inlineStr">
        <is>
          <t>sí</t>
        </is>
      </c>
      <c r="W119" s="63" t="n">
        <v>200000</v>
      </c>
      <c r="X119" s="63" t="str"/>
      <c r="Y119" s="63" t="inlineStr">
        <is>
          <t>Sí</t>
        </is>
      </c>
      <c r="Z119" s="63" t="inlineStr">
        <is>
          <t>Sí</t>
        </is>
      </c>
      <c r="AA119" s="63" t="inlineStr">
        <is>
          <t>No</t>
        </is>
      </c>
      <c r="AB119" s="63" t="inlineStr">
        <is>
          <t>No</t>
        </is>
      </c>
      <c r="AC119" s="63" t="str"/>
      <c r="AD119" s="64" t="str"/>
    </row>
    <row r="120">
      <c r="A120" s="62" t="inlineStr">
        <is>
          <t>Marzo 2026</t>
        </is>
      </c>
      <c r="B120" s="63" t="n"/>
      <c r="C120" s="63" t="inlineStr">
        <is>
          <t>Facebook</t>
        </is>
      </c>
      <c r="D120" s="63" t="inlineStr">
        <is>
          <t>CAMPAÑA</t>
        </is>
      </c>
      <c r="E120" s="63" t="inlineStr">
        <is>
          <t>CARRUSEL</t>
        </is>
      </c>
      <c r="F120" s="63" t="inlineStr">
        <is>
          <t>maicao</t>
        </is>
      </c>
      <c r="G120" s="63" t="inlineStr">
        <is>
          <t>lanzamientos de marzo</t>
        </is>
      </c>
      <c r="H120" s="63" t="str"/>
      <c r="I120" s="63" t="str"/>
      <c r="J120" s="63" t="inlineStr">
        <is>
          <t>Alcance</t>
        </is>
      </c>
      <c r="K120" s="63" t="n">
        <v>708300</v>
      </c>
      <c r="L120" s="63" t="n">
        <v>392100</v>
      </c>
      <c r="M120" s="63" t="n">
        <v>246</v>
      </c>
      <c r="N120" s="63" t="n">
        <v>2</v>
      </c>
      <c r="O120" s="63" t="n">
        <v>0</v>
      </c>
      <c r="P120" s="63" t="n">
        <v>0</v>
      </c>
      <c r="Q120" s="63" t="n">
        <v>5</v>
      </c>
      <c r="R120" s="63" t="n">
        <v>0</v>
      </c>
      <c r="S120" s="63" t="n">
        <v>21</v>
      </c>
      <c r="T120" s="63" t="n">
        <v>274</v>
      </c>
      <c r="U120" s="63" t="n">
        <v>0.06988013261999999</v>
      </c>
      <c r="V120" s="63" t="inlineStr">
        <is>
          <t>sí</t>
        </is>
      </c>
      <c r="W120" s="63" t="n">
        <v>200000</v>
      </c>
      <c r="X120" s="63" t="str"/>
      <c r="Y120" s="63" t="inlineStr">
        <is>
          <t>Sí</t>
        </is>
      </c>
      <c r="Z120" s="63" t="inlineStr">
        <is>
          <t>Sí</t>
        </is>
      </c>
      <c r="AA120" s="63" t="inlineStr">
        <is>
          <t>No</t>
        </is>
      </c>
      <c r="AB120" s="63" t="inlineStr">
        <is>
          <t>No</t>
        </is>
      </c>
      <c r="AC120" s="63" t="str"/>
      <c r="AD120" s="64" t="str"/>
    </row>
    <row r="121">
      <c r="A121" s="62" t="inlineStr">
        <is>
          <t>Marzo 2026</t>
        </is>
      </c>
      <c r="B121" s="63" t="n"/>
      <c r="C121" s="63" t="inlineStr">
        <is>
          <t>Facebook</t>
        </is>
      </c>
      <c r="D121" s="63" t="inlineStr">
        <is>
          <t>EGC</t>
        </is>
      </c>
      <c r="E121" s="63" t="inlineStr">
        <is>
          <t>CARRUSEL</t>
        </is>
      </c>
      <c r="F121" s="63" t="inlineStr">
        <is>
          <t>maicao</t>
        </is>
      </c>
      <c r="G121" s="63" t="inlineStr">
        <is>
          <t>repost productos desde 1000</t>
        </is>
      </c>
      <c r="H121" s="63" t="str"/>
      <c r="I121" s="63" t="str"/>
      <c r="J121" s="63" t="str"/>
      <c r="K121" s="63" t="n">
        <v>28500</v>
      </c>
      <c r="L121" s="63" t="n">
        <v>19300</v>
      </c>
      <c r="M121" s="63" t="n">
        <v>76</v>
      </c>
      <c r="N121" s="63" t="n">
        <v>3</v>
      </c>
      <c r="O121" s="63" t="n">
        <v>0</v>
      </c>
      <c r="P121" s="63" t="n">
        <v>0</v>
      </c>
      <c r="Q121" s="63" t="n">
        <v>0</v>
      </c>
      <c r="R121" s="63" t="n">
        <v>0</v>
      </c>
      <c r="S121" s="63" t="n">
        <v>0</v>
      </c>
      <c r="T121" s="63" t="n">
        <v>79</v>
      </c>
      <c r="U121" s="63" t="n">
        <v>0.4093264249</v>
      </c>
      <c r="V121" s="63" t="str"/>
      <c r="W121" s="63" t="n">
        <v>0</v>
      </c>
      <c r="X121" s="63" t="str"/>
      <c r="Y121" s="63" t="inlineStr">
        <is>
          <t>Sí</t>
        </is>
      </c>
      <c r="Z121" s="63" t="inlineStr">
        <is>
          <t>Sí</t>
        </is>
      </c>
      <c r="AA121" s="63" t="inlineStr">
        <is>
          <t>No</t>
        </is>
      </c>
      <c r="AB121" s="63" t="inlineStr">
        <is>
          <t>No</t>
        </is>
      </c>
      <c r="AC121" s="63" t="str"/>
      <c r="AD121" s="64" t="str"/>
    </row>
    <row r="122">
      <c r="A122" s="62" t="inlineStr">
        <is>
          <t>Marzo 2026</t>
        </is>
      </c>
      <c r="B122" s="63" t="n"/>
      <c r="C122" s="63" t="inlineStr">
        <is>
          <t>Facebook</t>
        </is>
      </c>
      <c r="D122" s="63" t="inlineStr">
        <is>
          <t>EXTRA</t>
        </is>
      </c>
      <c r="E122" s="63" t="inlineStr">
        <is>
          <t>VIDEO</t>
        </is>
      </c>
      <c r="F122" s="63" t="inlineStr">
        <is>
          <t>maicao</t>
        </is>
      </c>
      <c r="G122" s="63" t="inlineStr">
        <is>
          <t>recap 2025</t>
        </is>
      </c>
      <c r="H122" s="63" t="str"/>
      <c r="I122" s="63" t="str"/>
      <c r="J122" s="63" t="str"/>
      <c r="K122" s="63" t="n">
        <v>2800</v>
      </c>
      <c r="L122" s="63" t="n">
        <v>2400</v>
      </c>
      <c r="M122" s="63" t="n">
        <v>12</v>
      </c>
      <c r="N122" s="63" t="n">
        <v>0</v>
      </c>
      <c r="O122" s="63" t="n">
        <v>0</v>
      </c>
      <c r="P122" s="63" t="n">
        <v>0</v>
      </c>
      <c r="Q122" s="63" t="n">
        <v>0</v>
      </c>
      <c r="R122" s="63" t="n">
        <v>0</v>
      </c>
      <c r="S122" s="63" t="n">
        <v>0</v>
      </c>
      <c r="T122" s="63" t="n">
        <v>12</v>
      </c>
      <c r="U122" s="63" t="n">
        <v>0.5</v>
      </c>
      <c r="V122" s="63" t="str"/>
      <c r="W122" s="63" t="n">
        <v>0</v>
      </c>
      <c r="X122" s="63" t="str"/>
      <c r="Y122" s="63" t="inlineStr">
        <is>
          <t>Sí</t>
        </is>
      </c>
      <c r="Z122" s="63" t="inlineStr">
        <is>
          <t>Sí</t>
        </is>
      </c>
      <c r="AA122" s="63" t="inlineStr">
        <is>
          <t>No</t>
        </is>
      </c>
      <c r="AB122" s="63" t="inlineStr">
        <is>
          <t>No</t>
        </is>
      </c>
      <c r="AC122" s="63" t="str"/>
      <c r="AD122" s="64" t="str"/>
    </row>
    <row r="123">
      <c r="A123" s="62" t="inlineStr">
        <is>
          <t>Marzo 2026</t>
        </is>
      </c>
      <c r="B123" s="63" t="n"/>
      <c r="C123" s="63" t="inlineStr">
        <is>
          <t>Facebook</t>
        </is>
      </c>
      <c r="D123" s="63" t="inlineStr">
        <is>
          <t>EXTRA</t>
        </is>
      </c>
      <c r="E123" s="63" t="inlineStr">
        <is>
          <t>VIDEO</t>
        </is>
      </c>
      <c r="F123" s="63" t="inlineStr">
        <is>
          <t>maicao</t>
        </is>
      </c>
      <c r="G123" s="63" t="inlineStr">
        <is>
          <t>recap bienvenida squad y consejeras</t>
        </is>
      </c>
      <c r="H123" s="63" t="str"/>
      <c r="I123" s="63" t="str"/>
      <c r="J123" s="63" t="str"/>
      <c r="K123" s="63" t="n">
        <v>3121</v>
      </c>
      <c r="L123" s="63" t="n">
        <v>2781</v>
      </c>
      <c r="M123" s="63" t="n">
        <v>12</v>
      </c>
      <c r="N123" s="63" t="n">
        <v>0</v>
      </c>
      <c r="O123" s="63" t="n">
        <v>0</v>
      </c>
      <c r="P123" s="63" t="n">
        <v>0</v>
      </c>
      <c r="Q123" s="63" t="n">
        <v>0</v>
      </c>
      <c r="R123" s="63" t="n">
        <v>0</v>
      </c>
      <c r="S123" s="63" t="n">
        <v>0</v>
      </c>
      <c r="T123" s="63" t="n">
        <v>12</v>
      </c>
      <c r="U123" s="63" t="n">
        <v>0.4314994606</v>
      </c>
      <c r="V123" s="63" t="str"/>
      <c r="W123" s="63" t="n">
        <v>0</v>
      </c>
      <c r="X123" s="63" t="str"/>
      <c r="Y123" s="63" t="inlineStr">
        <is>
          <t>Sí</t>
        </is>
      </c>
      <c r="Z123" s="63" t="inlineStr">
        <is>
          <t>Sí</t>
        </is>
      </c>
      <c r="AA123" s="63" t="inlineStr">
        <is>
          <t>No</t>
        </is>
      </c>
      <c r="AB123" s="63" t="inlineStr">
        <is>
          <t>No</t>
        </is>
      </c>
      <c r="AC123" s="63" t="str"/>
      <c r="AD123" s="64" t="str"/>
    </row>
    <row r="124">
      <c r="A124" s="62" t="inlineStr">
        <is>
          <t>Marzo 2026</t>
        </is>
      </c>
      <c r="B124" s="63" t="n"/>
      <c r="C124" s="63" t="inlineStr">
        <is>
          <t>Facebook</t>
        </is>
      </c>
      <c r="D124" s="63" t="inlineStr">
        <is>
          <t>UGC</t>
        </is>
      </c>
      <c r="E124" s="63" t="inlineStr">
        <is>
          <t>VIDEO</t>
        </is>
      </c>
      <c r="F124" s="63" t="inlineStr">
        <is>
          <t>maicao</t>
        </is>
      </c>
      <c r="G124" s="63" t="inlineStr">
        <is>
          <t>repost hábitos para mejorar tu piel</t>
        </is>
      </c>
      <c r="H124" s="63" t="str"/>
      <c r="I124" s="63" t="str"/>
      <c r="J124" s="63" t="str"/>
      <c r="K124" s="63" t="n">
        <v>7200</v>
      </c>
      <c r="L124" s="63" t="n">
        <v>4900</v>
      </c>
      <c r="M124" s="63" t="n">
        <v>17</v>
      </c>
      <c r="N124" s="63" t="n">
        <v>0</v>
      </c>
      <c r="O124" s="63" t="n">
        <v>0</v>
      </c>
      <c r="P124" s="63" t="n">
        <v>0</v>
      </c>
      <c r="Q124" s="63" t="n">
        <v>1</v>
      </c>
      <c r="R124" s="63" t="n">
        <v>0</v>
      </c>
      <c r="S124" s="63" t="n">
        <v>0</v>
      </c>
      <c r="T124" s="63" t="n">
        <v>18</v>
      </c>
      <c r="U124" s="63" t="n">
        <v>0.3673469388</v>
      </c>
      <c r="V124" s="63" t="str"/>
      <c r="W124" s="63" t="n">
        <v>0</v>
      </c>
      <c r="X124" s="63" t="str"/>
      <c r="Y124" s="63" t="inlineStr">
        <is>
          <t>Sí</t>
        </is>
      </c>
      <c r="Z124" s="63" t="inlineStr">
        <is>
          <t>Sí</t>
        </is>
      </c>
      <c r="AA124" s="63" t="inlineStr">
        <is>
          <t>No</t>
        </is>
      </c>
      <c r="AB124" s="63" t="inlineStr">
        <is>
          <t>No</t>
        </is>
      </c>
      <c r="AC124" s="63" t="str"/>
      <c r="AD124" s="64" t="str"/>
    </row>
    <row r="125">
      <c r="A125" s="62" t="inlineStr">
        <is>
          <t>Marzo 2026</t>
        </is>
      </c>
      <c r="B125" s="63" t="n"/>
      <c r="C125" s="63" t="inlineStr">
        <is>
          <t>Facebook</t>
        </is>
      </c>
      <c r="D125" s="63" t="inlineStr">
        <is>
          <t>UGC</t>
        </is>
      </c>
      <c r="E125" s="63" t="inlineStr">
        <is>
          <t>VIDEO</t>
        </is>
      </c>
      <c r="F125" s="63" t="inlineStr">
        <is>
          <t>maicao</t>
        </is>
      </c>
      <c r="G125" s="63" t="inlineStr">
        <is>
          <t>repost ugc bubble maybelline</t>
        </is>
      </c>
      <c r="H125" s="63" t="str"/>
      <c r="I125" s="63" t="str"/>
      <c r="J125" s="63" t="inlineStr">
        <is>
          <t>alcance</t>
        </is>
      </c>
      <c r="K125" s="63" t="n">
        <v>531300</v>
      </c>
      <c r="L125" s="63" t="n">
        <v>325000</v>
      </c>
      <c r="M125" s="63" t="n">
        <v>479</v>
      </c>
      <c r="N125" s="63" t="n">
        <v>8</v>
      </c>
      <c r="O125" s="63" t="n">
        <v>0</v>
      </c>
      <c r="P125" s="63" t="n">
        <v>0</v>
      </c>
      <c r="Q125" s="63" t="n">
        <v>118</v>
      </c>
      <c r="R125" s="63" t="n">
        <v>0</v>
      </c>
      <c r="S125" s="63" t="n">
        <v>120</v>
      </c>
      <c r="T125" s="63" t="n">
        <v>725</v>
      </c>
      <c r="U125" s="63" t="n">
        <v>0.2230769231</v>
      </c>
      <c r="V125" s="63" t="inlineStr">
        <is>
          <t>sí</t>
        </is>
      </c>
      <c r="W125" s="63" t="n">
        <v>200000</v>
      </c>
      <c r="X125" s="63" t="str"/>
      <c r="Y125" s="63" t="inlineStr">
        <is>
          <t>Sí</t>
        </is>
      </c>
      <c r="Z125" s="63" t="inlineStr">
        <is>
          <t>Sí</t>
        </is>
      </c>
      <c r="AA125" s="63" t="inlineStr">
        <is>
          <t>No</t>
        </is>
      </c>
      <c r="AB125" s="63" t="inlineStr">
        <is>
          <t>No</t>
        </is>
      </c>
      <c r="AC125" s="63" t="str"/>
      <c r="AD125" s="64" t="str"/>
    </row>
    <row r="126">
      <c r="A126" s="62" t="inlineStr">
        <is>
          <t>Marzo 2026</t>
        </is>
      </c>
      <c r="B126" s="63" t="n"/>
      <c r="C126" s="63" t="inlineStr">
        <is>
          <t>Facebook</t>
        </is>
      </c>
      <c r="D126" s="63" t="inlineStr">
        <is>
          <t>EGC</t>
        </is>
      </c>
      <c r="E126" s="63" t="inlineStr">
        <is>
          <t>VIDEO</t>
        </is>
      </c>
      <c r="F126" s="63" t="inlineStr">
        <is>
          <t>maicao</t>
        </is>
      </c>
      <c r="G126" s="63" t="inlineStr">
        <is>
          <t>replica egc ofertas</t>
        </is>
      </c>
      <c r="H126" s="63" t="str"/>
      <c r="I126" s="63" t="str"/>
      <c r="J126" s="63" t="inlineStr">
        <is>
          <t>alcance</t>
        </is>
      </c>
      <c r="K126" s="63" t="n">
        <v>526100</v>
      </c>
      <c r="L126" s="63" t="n">
        <v>332000</v>
      </c>
      <c r="M126" s="63" t="n">
        <v>1091</v>
      </c>
      <c r="N126" s="63" t="n">
        <v>6</v>
      </c>
      <c r="O126" s="63" t="n">
        <v>0</v>
      </c>
      <c r="P126" s="63" t="n">
        <v>0</v>
      </c>
      <c r="Q126" s="63" t="n">
        <v>133</v>
      </c>
      <c r="R126" s="63" t="n">
        <v>0</v>
      </c>
      <c r="S126" s="63" t="n">
        <v>150</v>
      </c>
      <c r="T126" s="63" t="n">
        <v>1380</v>
      </c>
      <c r="U126" s="63" t="n">
        <v>0.4156626506</v>
      </c>
      <c r="V126" s="63" t="inlineStr">
        <is>
          <t>sí</t>
        </is>
      </c>
      <c r="W126" s="63" t="n">
        <v>200000</v>
      </c>
      <c r="X126" s="63" t="str"/>
      <c r="Y126" s="63" t="inlineStr">
        <is>
          <t>Sí</t>
        </is>
      </c>
      <c r="Z126" s="63" t="inlineStr">
        <is>
          <t>Sí</t>
        </is>
      </c>
      <c r="AA126" s="63" t="inlineStr">
        <is>
          <t>No</t>
        </is>
      </c>
      <c r="AB126" s="63" t="inlineStr">
        <is>
          <t>No</t>
        </is>
      </c>
      <c r="AC126" s="63" t="str"/>
      <c r="AD126" s="64" t="str"/>
    </row>
    <row r="127">
      <c r="A127" s="62" t="inlineStr">
        <is>
          <t>Marzo 2026</t>
        </is>
      </c>
      <c r="B127" s="63" t="n"/>
      <c r="C127" s="63" t="inlineStr">
        <is>
          <t>Facebook</t>
        </is>
      </c>
      <c r="D127" s="63" t="inlineStr">
        <is>
          <t>UGC</t>
        </is>
      </c>
      <c r="E127" s="63" t="inlineStr">
        <is>
          <t>VIDEO</t>
        </is>
      </c>
      <c r="F127" s="63" t="inlineStr">
        <is>
          <t>maicao</t>
        </is>
      </c>
      <c r="G127" s="63" t="inlineStr">
        <is>
          <t>repost make up para principiantes</t>
        </is>
      </c>
      <c r="H127" s="63" t="str"/>
      <c r="I127" s="63" t="str"/>
      <c r="J127" s="63" t="inlineStr">
        <is>
          <t>alcance</t>
        </is>
      </c>
      <c r="K127" s="63" t="n">
        <v>507800</v>
      </c>
      <c r="L127" s="63" t="n">
        <v>325800</v>
      </c>
      <c r="M127" s="63" t="n">
        <v>906</v>
      </c>
      <c r="N127" s="63" t="n">
        <v>4</v>
      </c>
      <c r="O127" s="63" t="n">
        <v>0</v>
      </c>
      <c r="P127" s="63" t="n">
        <v>0</v>
      </c>
      <c r="Q127" s="63" t="n">
        <v>178</v>
      </c>
      <c r="R127" s="63" t="n">
        <v>0</v>
      </c>
      <c r="S127" s="63" t="n">
        <v>114</v>
      </c>
      <c r="T127" s="63" t="n">
        <v>1202</v>
      </c>
      <c r="U127" s="63" t="n">
        <v>0.3689379988</v>
      </c>
      <c r="V127" s="63" t="inlineStr">
        <is>
          <t>sí</t>
        </is>
      </c>
      <c r="W127" s="63" t="n">
        <v>200000</v>
      </c>
      <c r="X127" s="63" t="str"/>
      <c r="Y127" s="63" t="inlineStr">
        <is>
          <t>Sí</t>
        </is>
      </c>
      <c r="Z127" s="63" t="inlineStr">
        <is>
          <t>Sí</t>
        </is>
      </c>
      <c r="AA127" s="63" t="inlineStr">
        <is>
          <t>No</t>
        </is>
      </c>
      <c r="AB127" s="63" t="inlineStr">
        <is>
          <t>No</t>
        </is>
      </c>
      <c r="AC127" s="63" t="str"/>
      <c r="AD127" s="64" t="str"/>
    </row>
    <row r="128">
      <c r="A128" s="62" t="inlineStr">
        <is>
          <t>Marzo 2026</t>
        </is>
      </c>
      <c r="B128" s="63" t="n"/>
      <c r="C128" s="63" t="inlineStr">
        <is>
          <t>Facebook</t>
        </is>
      </c>
      <c r="D128" s="63" t="inlineStr">
        <is>
          <t>CAMPAÑA</t>
        </is>
      </c>
      <c r="E128" s="63" t="inlineStr">
        <is>
          <t>REEL</t>
        </is>
      </c>
      <c r="F128" s="63" t="inlineStr">
        <is>
          <t>maicao</t>
        </is>
      </c>
      <c r="G128" s="63" t="inlineStr">
        <is>
          <t>repost día de la felicidad</t>
        </is>
      </c>
      <c r="H128" s="63" t="str"/>
      <c r="I128" s="63" t="str"/>
      <c r="J128" s="63" t="str"/>
      <c r="K128" s="63" t="n">
        <v>3947</v>
      </c>
      <c r="L128" s="63" t="n">
        <v>2723</v>
      </c>
      <c r="M128" s="63" t="n">
        <v>13</v>
      </c>
      <c r="N128" s="63" t="n">
        <v>0</v>
      </c>
      <c r="O128" s="63" t="n">
        <v>0</v>
      </c>
      <c r="P128" s="63" t="n">
        <v>0</v>
      </c>
      <c r="Q128" s="63" t="n">
        <v>0</v>
      </c>
      <c r="R128" s="63" t="n">
        <v>0</v>
      </c>
      <c r="S128" s="63" t="n">
        <v>0</v>
      </c>
      <c r="T128" s="63" t="n">
        <v>13</v>
      </c>
      <c r="U128" s="63" t="n">
        <v>0.4774146162</v>
      </c>
      <c r="V128" s="63" t="str"/>
      <c r="W128" s="63" t="n">
        <v>0</v>
      </c>
      <c r="X128" s="63" t="str"/>
      <c r="Y128" s="63" t="inlineStr">
        <is>
          <t>Sí</t>
        </is>
      </c>
      <c r="Z128" s="63" t="inlineStr">
        <is>
          <t>Sí</t>
        </is>
      </c>
      <c r="AA128" s="63" t="inlineStr">
        <is>
          <t>No</t>
        </is>
      </c>
      <c r="AB128" s="63" t="inlineStr">
        <is>
          <t>No</t>
        </is>
      </c>
      <c r="AC128" s="63" t="str"/>
      <c r="AD128" s="64" t="str"/>
    </row>
    <row r="129">
      <c r="A129" s="62" t="inlineStr">
        <is>
          <t>Marzo 2026</t>
        </is>
      </c>
      <c r="B129" s="63" t="n"/>
      <c r="C129" s="63" t="inlineStr">
        <is>
          <t>Facebook</t>
        </is>
      </c>
      <c r="D129" s="63" t="inlineStr">
        <is>
          <t>EGC</t>
        </is>
      </c>
      <c r="E129" s="63" t="inlineStr">
        <is>
          <t>REEL</t>
        </is>
      </c>
      <c r="F129" s="63" t="inlineStr">
        <is>
          <t>maicao</t>
        </is>
      </c>
      <c r="G129" s="63" t="inlineStr">
        <is>
          <t>repost garnier skin active</t>
        </is>
      </c>
      <c r="H129" s="63" t="str"/>
      <c r="I129" s="63" t="str"/>
      <c r="J129" s="63" t="str"/>
      <c r="K129" s="63" t="n">
        <v>23500</v>
      </c>
      <c r="L129" s="63" t="n">
        <v>21100</v>
      </c>
      <c r="M129" s="63" t="n">
        <v>170</v>
      </c>
      <c r="N129" s="63" t="n">
        <v>0</v>
      </c>
      <c r="O129" s="63" t="n">
        <v>0</v>
      </c>
      <c r="P129" s="63" t="n">
        <v>0</v>
      </c>
      <c r="Q129" s="63" t="n">
        <v>69</v>
      </c>
      <c r="R129" s="63" t="n">
        <v>0</v>
      </c>
      <c r="S129" s="63" t="n">
        <v>0</v>
      </c>
      <c r="T129" s="63" t="n">
        <v>239</v>
      </c>
      <c r="U129" s="63" t="n">
        <v>1.132701422</v>
      </c>
      <c r="V129" s="63" t="str"/>
      <c r="W129" s="63" t="n">
        <v>0</v>
      </c>
      <c r="X129" s="63" t="str"/>
      <c r="Y129" s="63" t="inlineStr">
        <is>
          <t>Sí</t>
        </is>
      </c>
      <c r="Z129" s="63" t="inlineStr">
        <is>
          <t>Sí</t>
        </is>
      </c>
      <c r="AA129" s="63" t="inlineStr">
        <is>
          <t>No</t>
        </is>
      </c>
      <c r="AB129" s="63" t="inlineStr">
        <is>
          <t>No</t>
        </is>
      </c>
      <c r="AC129" s="63" t="str"/>
      <c r="AD129" s="64" t="str"/>
    </row>
    <row r="130">
      <c r="A130" s="62" t="inlineStr">
        <is>
          <t>Marzo 2026</t>
        </is>
      </c>
      <c r="B130" s="63" t="n"/>
      <c r="C130" s="63" t="inlineStr">
        <is>
          <t>Facebook</t>
        </is>
      </c>
      <c r="D130" s="63" t="inlineStr">
        <is>
          <t>EGC</t>
        </is>
      </c>
      <c r="E130" s="63" t="inlineStr">
        <is>
          <t>REEL</t>
        </is>
      </c>
      <c r="F130" s="63" t="inlineStr">
        <is>
          <t>maicao</t>
        </is>
      </c>
      <c r="G130" s="63" t="inlineStr">
        <is>
          <t>repost ofertas petrizzio</t>
        </is>
      </c>
      <c r="H130" s="63" t="str"/>
      <c r="I130" s="63" t="str"/>
      <c r="J130" s="63" t="str"/>
      <c r="K130" s="63" t="n">
        <v>12000</v>
      </c>
      <c r="L130" s="63" t="n">
        <v>9400</v>
      </c>
      <c r="M130" s="63" t="n">
        <v>49</v>
      </c>
      <c r="N130" s="63" t="n">
        <v>2</v>
      </c>
      <c r="O130" s="63" t="n">
        <v>0</v>
      </c>
      <c r="P130" s="63" t="n">
        <v>0</v>
      </c>
      <c r="Q130" s="63" t="n">
        <v>2</v>
      </c>
      <c r="R130" s="63" t="n">
        <v>0</v>
      </c>
      <c r="S130" s="63" t="n">
        <v>0</v>
      </c>
      <c r="T130" s="63" t="n">
        <v>53</v>
      </c>
      <c r="U130" s="63" t="n">
        <v>0.5638297872</v>
      </c>
      <c r="V130" s="63" t="str"/>
      <c r="W130" s="63" t="n">
        <v>0</v>
      </c>
      <c r="X130" s="63" t="str"/>
      <c r="Y130" s="63" t="inlineStr">
        <is>
          <t>Sí</t>
        </is>
      </c>
      <c r="Z130" s="63" t="inlineStr">
        <is>
          <t>Sí</t>
        </is>
      </c>
      <c r="AA130" s="63" t="inlineStr">
        <is>
          <t>No</t>
        </is>
      </c>
      <c r="AB130" s="63" t="inlineStr">
        <is>
          <t>No</t>
        </is>
      </c>
      <c r="AC130" s="63" t="str"/>
      <c r="AD130" s="64" t="str"/>
    </row>
    <row r="131">
      <c r="A131" s="62" t="inlineStr">
        <is>
          <t>Marzo 2026</t>
        </is>
      </c>
      <c r="B131" s="63" t="n"/>
      <c r="C131" s="63" t="inlineStr">
        <is>
          <t>Facebook</t>
        </is>
      </c>
      <c r="D131" s="63" t="inlineStr">
        <is>
          <t>RUTA</t>
        </is>
      </c>
      <c r="E131" s="63" t="inlineStr">
        <is>
          <t>STORY</t>
        </is>
      </c>
      <c r="F131" s="63" t="inlineStr">
        <is>
          <t>maicao</t>
        </is>
      </c>
      <c r="G131" s="63" t="inlineStr">
        <is>
          <t>ruta la cisterna</t>
        </is>
      </c>
      <c r="H131" s="63" t="str"/>
      <c r="I131" s="63" t="str"/>
      <c r="J131" s="63" t="str"/>
      <c r="K131" s="63" t="n">
        <v>3019</v>
      </c>
      <c r="L131" s="63" t="n">
        <v>2767</v>
      </c>
      <c r="M131" s="63" t="n">
        <v>11</v>
      </c>
      <c r="N131" s="63" t="n">
        <v>0</v>
      </c>
      <c r="O131" s="63" t="n">
        <v>0</v>
      </c>
      <c r="P131" s="63" t="n">
        <v>0</v>
      </c>
      <c r="Q131" s="63" t="n">
        <v>0</v>
      </c>
      <c r="R131" s="63" t="n">
        <v>0</v>
      </c>
      <c r="S131" s="63" t="n">
        <v>0</v>
      </c>
      <c r="T131" s="63" t="n">
        <v>11</v>
      </c>
      <c r="U131" s="63" t="n">
        <v>0.3975424648</v>
      </c>
      <c r="V131" s="63" t="str"/>
      <c r="W131" s="63" t="n">
        <v>0</v>
      </c>
      <c r="X131" s="63" t="str"/>
      <c r="Y131" s="63" t="inlineStr">
        <is>
          <t>Sí</t>
        </is>
      </c>
      <c r="Z131" s="63" t="inlineStr">
        <is>
          <t>Sí</t>
        </is>
      </c>
      <c r="AA131" s="63" t="inlineStr">
        <is>
          <t>No</t>
        </is>
      </c>
      <c r="AB131" s="63" t="inlineStr">
        <is>
          <t>No</t>
        </is>
      </c>
      <c r="AC131" s="63" t="str"/>
      <c r="AD131" s="64" t="str"/>
    </row>
    <row r="132">
      <c r="A132" s="62" t="inlineStr">
        <is>
          <t>Marzo 2026</t>
        </is>
      </c>
      <c r="B132" s="63" t="n"/>
      <c r="C132" s="63" t="inlineStr">
        <is>
          <t>Facebook</t>
        </is>
      </c>
      <c r="D132" s="63" t="inlineStr">
        <is>
          <t>CAMPAÑA</t>
        </is>
      </c>
      <c r="E132" s="63" t="inlineStr">
        <is>
          <t>STORY</t>
        </is>
      </c>
      <c r="F132" s="63" t="inlineStr">
        <is>
          <t>maicao</t>
        </is>
      </c>
      <c r="G132" s="63" t="inlineStr">
        <is>
          <t>ruta la cisterna</t>
        </is>
      </c>
      <c r="H132" s="63" t="str"/>
      <c r="I132" s="63" t="str"/>
      <c r="J132" s="63" t="str"/>
      <c r="K132" s="63" t="n">
        <v>1801</v>
      </c>
      <c r="L132" s="63" t="n">
        <v>1758</v>
      </c>
      <c r="M132" s="63" t="n">
        <v>6</v>
      </c>
      <c r="N132" s="63" t="n">
        <v>0</v>
      </c>
      <c r="O132" s="63" t="n">
        <v>0</v>
      </c>
      <c r="P132" s="63" t="n">
        <v>0</v>
      </c>
      <c r="Q132" s="63" t="n">
        <v>0</v>
      </c>
      <c r="R132" s="63" t="n">
        <v>0</v>
      </c>
      <c r="S132" s="63" t="n">
        <v>0</v>
      </c>
      <c r="T132" s="63" t="n">
        <v>6</v>
      </c>
      <c r="U132" s="63" t="n">
        <v>0.3412969283</v>
      </c>
      <c r="V132" s="63" t="str"/>
      <c r="W132" s="63" t="n">
        <v>0</v>
      </c>
      <c r="X132" s="63" t="str"/>
      <c r="Y132" s="63" t="inlineStr">
        <is>
          <t>Sí</t>
        </is>
      </c>
      <c r="Z132" s="63" t="inlineStr">
        <is>
          <t>Sí</t>
        </is>
      </c>
      <c r="AA132" s="63" t="inlineStr">
        <is>
          <t>No</t>
        </is>
      </c>
      <c r="AB132" s="63" t="inlineStr">
        <is>
          <t>No</t>
        </is>
      </c>
      <c r="AC132" s="63" t="str"/>
      <c r="AD132" s="64" t="str"/>
    </row>
    <row r="133">
      <c r="A133" s="62" t="inlineStr">
        <is>
          <t>Marzo 2026</t>
        </is>
      </c>
      <c r="B133" s="63" t="n"/>
      <c r="C133" s="63" t="inlineStr">
        <is>
          <t>Facebook</t>
        </is>
      </c>
      <c r="D133" s="63" t="inlineStr">
        <is>
          <t>SAMY</t>
        </is>
      </c>
      <c r="E133" s="63" t="inlineStr">
        <is>
          <t>STORY</t>
        </is>
      </c>
      <c r="F133" s="63" t="inlineStr">
        <is>
          <t>maicao</t>
        </is>
      </c>
      <c r="G133" s="63" t="inlineStr">
        <is>
          <t>repost story noeayleen</t>
        </is>
      </c>
      <c r="H133" s="63" t="str"/>
      <c r="I133" s="63" t="str"/>
      <c r="J133" s="63" t="str"/>
      <c r="K133" s="63" t="n">
        <v>1382</v>
      </c>
      <c r="L133" s="63" t="n">
        <v>1358</v>
      </c>
      <c r="M133" s="63" t="n">
        <v>4</v>
      </c>
      <c r="N133" s="63" t="n">
        <v>0</v>
      </c>
      <c r="O133" s="63" t="n">
        <v>0</v>
      </c>
      <c r="P133" s="63" t="n">
        <v>0</v>
      </c>
      <c r="Q133" s="63" t="n">
        <v>0</v>
      </c>
      <c r="R133" s="63" t="n">
        <v>0</v>
      </c>
      <c r="S133" s="63" t="n">
        <v>0</v>
      </c>
      <c r="T133" s="63" t="n">
        <v>4</v>
      </c>
      <c r="U133" s="63" t="n">
        <v>0.29455081</v>
      </c>
      <c r="V133" s="63" t="str"/>
      <c r="W133" s="63" t="n">
        <v>0</v>
      </c>
      <c r="X133" s="63" t="str"/>
      <c r="Y133" s="63" t="inlineStr">
        <is>
          <t>Sí</t>
        </is>
      </c>
      <c r="Z133" s="63" t="inlineStr">
        <is>
          <t>Sí</t>
        </is>
      </c>
      <c r="AA133" s="63" t="inlineStr">
        <is>
          <t>No</t>
        </is>
      </c>
      <c r="AB133" s="63" t="inlineStr">
        <is>
          <t>No</t>
        </is>
      </c>
      <c r="AC133" s="63" t="str"/>
      <c r="AD133" s="64" t="str"/>
    </row>
    <row r="134">
      <c r="A134" s="62" t="inlineStr">
        <is>
          <t>Marzo 2026</t>
        </is>
      </c>
      <c r="B134" s="63" t="n"/>
      <c r="C134" s="63" t="inlineStr">
        <is>
          <t>Facebook</t>
        </is>
      </c>
      <c r="D134" s="63" t="inlineStr">
        <is>
          <t>RUTA</t>
        </is>
      </c>
      <c r="E134" s="63" t="inlineStr">
        <is>
          <t>STORY</t>
        </is>
      </c>
      <c r="F134" s="63" t="inlineStr">
        <is>
          <t>maicao</t>
        </is>
      </c>
      <c r="G134" s="63" t="inlineStr">
        <is>
          <t>ruta la cisterna</t>
        </is>
      </c>
      <c r="H134" s="63" t="str"/>
      <c r="I134" s="63" t="str"/>
      <c r="J134" s="63" t="str"/>
      <c r="K134" s="63" t="n">
        <v>1264</v>
      </c>
      <c r="L134" s="63" t="n">
        <v>1243</v>
      </c>
      <c r="M134" s="63" t="n">
        <v>7</v>
      </c>
      <c r="N134" s="63" t="n">
        <v>0</v>
      </c>
      <c r="O134" s="63" t="n">
        <v>0</v>
      </c>
      <c r="P134" s="63" t="n">
        <v>0</v>
      </c>
      <c r="Q134" s="63" t="n">
        <v>0</v>
      </c>
      <c r="R134" s="63" t="n">
        <v>0</v>
      </c>
      <c r="S134" s="63" t="n">
        <v>0</v>
      </c>
      <c r="T134" s="63" t="n">
        <v>7</v>
      </c>
      <c r="U134" s="63" t="n">
        <v>0.5631536605</v>
      </c>
      <c r="V134" s="63" t="str"/>
      <c r="W134" s="63" t="n">
        <v>0</v>
      </c>
      <c r="X134" s="63" t="str"/>
      <c r="Y134" s="63" t="inlineStr">
        <is>
          <t>Sí</t>
        </is>
      </c>
      <c r="Z134" s="63" t="inlineStr">
        <is>
          <t>Sí</t>
        </is>
      </c>
      <c r="AA134" s="63" t="inlineStr">
        <is>
          <t>No</t>
        </is>
      </c>
      <c r="AB134" s="63" t="inlineStr">
        <is>
          <t>No</t>
        </is>
      </c>
      <c r="AC134" s="63" t="str"/>
      <c r="AD134" s="64" t="str"/>
    </row>
    <row r="135">
      <c r="A135" s="62" t="inlineStr">
        <is>
          <t>Marzo 2026</t>
        </is>
      </c>
      <c r="B135" s="63" t="n"/>
      <c r="C135" s="63" t="inlineStr">
        <is>
          <t>Facebook</t>
        </is>
      </c>
      <c r="D135" s="63" t="inlineStr">
        <is>
          <t>CAMPAÑA</t>
        </is>
      </c>
      <c r="E135" s="63" t="inlineStr">
        <is>
          <t>STORY</t>
        </is>
      </c>
      <c r="F135" s="63" t="inlineStr">
        <is>
          <t>maicao</t>
        </is>
      </c>
      <c r="G135" s="63" t="inlineStr">
        <is>
          <t>dia de la felicidad</t>
        </is>
      </c>
      <c r="H135" s="63" t="str"/>
      <c r="I135" s="63" t="str"/>
      <c r="J135" s="63" t="str"/>
      <c r="K135" s="63" t="n">
        <v>1203</v>
      </c>
      <c r="L135" s="63" t="n">
        <v>1202</v>
      </c>
      <c r="M135" s="63" t="n">
        <v>7</v>
      </c>
      <c r="N135" s="63" t="n">
        <v>0</v>
      </c>
      <c r="O135" s="63" t="n">
        <v>0</v>
      </c>
      <c r="P135" s="63" t="n">
        <v>0</v>
      </c>
      <c r="Q135" s="63" t="n">
        <v>0</v>
      </c>
      <c r="R135" s="63" t="n">
        <v>0</v>
      </c>
      <c r="S135" s="63" t="n">
        <v>0</v>
      </c>
      <c r="T135" s="63" t="n">
        <v>7</v>
      </c>
      <c r="U135" s="63" t="n">
        <v>0.5823627288</v>
      </c>
      <c r="V135" s="63" t="str"/>
      <c r="W135" s="63" t="n">
        <v>0</v>
      </c>
      <c r="X135" s="63" t="str"/>
      <c r="Y135" s="63" t="inlineStr">
        <is>
          <t>Sí</t>
        </is>
      </c>
      <c r="Z135" s="63" t="inlineStr">
        <is>
          <t>Sí</t>
        </is>
      </c>
      <c r="AA135" s="63" t="inlineStr">
        <is>
          <t>No</t>
        </is>
      </c>
      <c r="AB135" s="63" t="inlineStr">
        <is>
          <t>No</t>
        </is>
      </c>
      <c r="AC135" s="63" t="str"/>
      <c r="AD135" s="64" t="str"/>
    </row>
    <row r="136">
      <c r="A136" s="62" t="inlineStr">
        <is>
          <t>Marzo 2026</t>
        </is>
      </c>
      <c r="B136" s="63" t="n"/>
      <c r="C136" s="63" t="inlineStr">
        <is>
          <t>Facebook</t>
        </is>
      </c>
      <c r="D136" s="63" t="inlineStr">
        <is>
          <t>CAMPAÑA</t>
        </is>
      </c>
      <c r="E136" s="63" t="inlineStr">
        <is>
          <t>STORY</t>
        </is>
      </c>
      <c r="F136" s="63" t="inlineStr">
        <is>
          <t>maicao</t>
        </is>
      </c>
      <c r="G136" s="63" t="inlineStr">
        <is>
          <t>día del sindrome de down</t>
        </is>
      </c>
      <c r="H136" s="63" t="str"/>
      <c r="I136" s="63" t="str"/>
      <c r="J136" s="63" t="str"/>
      <c r="K136" s="63" t="n">
        <v>3716</v>
      </c>
      <c r="L136" s="63" t="n">
        <v>3428</v>
      </c>
      <c r="M136" s="63" t="n">
        <v>28</v>
      </c>
      <c r="N136" s="63" t="n">
        <v>0</v>
      </c>
      <c r="O136" s="63" t="n">
        <v>0</v>
      </c>
      <c r="P136" s="63" t="n">
        <v>0</v>
      </c>
      <c r="Q136" s="63" t="n">
        <v>0</v>
      </c>
      <c r="R136" s="63" t="n">
        <v>0</v>
      </c>
      <c r="S136" s="63" t="n">
        <v>0</v>
      </c>
      <c r="T136" s="63" t="n">
        <v>28</v>
      </c>
      <c r="U136" s="63" t="n">
        <v>0.8168028005</v>
      </c>
      <c r="V136" s="63" t="str"/>
      <c r="W136" s="63" t="n">
        <v>0</v>
      </c>
      <c r="X136" s="63" t="str"/>
      <c r="Y136" s="63" t="inlineStr">
        <is>
          <t>Sí</t>
        </is>
      </c>
      <c r="Z136" s="63" t="inlineStr">
        <is>
          <t>Sí</t>
        </is>
      </c>
      <c r="AA136" s="63" t="inlineStr">
        <is>
          <t>No</t>
        </is>
      </c>
      <c r="AB136" s="63" t="inlineStr">
        <is>
          <t>No</t>
        </is>
      </c>
      <c r="AC136" s="63" t="str"/>
      <c r="AD136" s="64" t="str"/>
    </row>
    <row r="137">
      <c r="A137" s="62" t="inlineStr">
        <is>
          <t>Marzo 2026</t>
        </is>
      </c>
      <c r="B137" s="63" t="n"/>
      <c r="C137" s="63" t="inlineStr">
        <is>
          <t>Facebook</t>
        </is>
      </c>
      <c r="D137" s="63" t="inlineStr">
        <is>
          <t>UGC</t>
        </is>
      </c>
      <c r="E137" s="63" t="inlineStr">
        <is>
          <t>STORY</t>
        </is>
      </c>
      <c r="F137" s="63" t="inlineStr">
        <is>
          <t>maicao</t>
        </is>
      </c>
      <c r="G137" s="63" t="inlineStr">
        <is>
          <t>repost hannah montana</t>
        </is>
      </c>
      <c r="H137" s="63" t="str"/>
      <c r="I137" s="63" t="str"/>
      <c r="J137" s="63" t="str"/>
      <c r="K137" s="63" t="n">
        <v>1667</v>
      </c>
      <c r="L137" s="63" t="n">
        <v>1604</v>
      </c>
      <c r="M137" s="63" t="n">
        <v>5</v>
      </c>
      <c r="N137" s="63" t="n">
        <v>0</v>
      </c>
      <c r="O137" s="63" t="n">
        <v>0</v>
      </c>
      <c r="P137" s="63" t="n">
        <v>0</v>
      </c>
      <c r="Q137" s="63" t="n">
        <v>0</v>
      </c>
      <c r="R137" s="63" t="n">
        <v>2</v>
      </c>
      <c r="S137" s="63" t="n">
        <v>0</v>
      </c>
      <c r="T137" s="63" t="n">
        <v>7</v>
      </c>
      <c r="U137" s="63" t="n">
        <v>0.4364089776</v>
      </c>
      <c r="V137" s="63" t="str"/>
      <c r="W137" s="63" t="n">
        <v>0</v>
      </c>
      <c r="X137" s="63" t="str"/>
      <c r="Y137" s="63" t="inlineStr">
        <is>
          <t>Sí</t>
        </is>
      </c>
      <c r="Z137" s="63" t="inlineStr">
        <is>
          <t>Sí</t>
        </is>
      </c>
      <c r="AA137" s="63" t="inlineStr">
        <is>
          <t>No</t>
        </is>
      </c>
      <c r="AB137" s="63" t="inlineStr">
        <is>
          <t>No</t>
        </is>
      </c>
      <c r="AC137" s="63" t="str"/>
      <c r="AD137" s="64" t="str"/>
    </row>
    <row r="138">
      <c r="A138" s="62" t="inlineStr">
        <is>
          <t>Marzo 2026</t>
        </is>
      </c>
      <c r="B138" s="63" t="n"/>
      <c r="C138" s="63" t="inlineStr">
        <is>
          <t>Facebook</t>
        </is>
      </c>
      <c r="D138" s="63" t="inlineStr">
        <is>
          <t>SQUAD</t>
        </is>
      </c>
      <c r="E138" s="63" t="inlineStr">
        <is>
          <t>STORY</t>
        </is>
      </c>
      <c r="F138" s="63" t="inlineStr">
        <is>
          <t>maicao</t>
        </is>
      </c>
      <c r="G138" s="63" t="inlineStr">
        <is>
          <t>repost la busquilla</t>
        </is>
      </c>
      <c r="H138" s="63" t="str"/>
      <c r="I138" s="63" t="str"/>
      <c r="J138" s="63" t="str"/>
      <c r="K138" s="63" t="n">
        <v>1007</v>
      </c>
      <c r="L138" s="63" t="n">
        <v>950</v>
      </c>
      <c r="M138" s="63" t="n">
        <v>5</v>
      </c>
      <c r="N138" s="63" t="n">
        <v>0</v>
      </c>
      <c r="O138" s="63" t="n">
        <v>0</v>
      </c>
      <c r="P138" s="63" t="n">
        <v>0</v>
      </c>
      <c r="Q138" s="63" t="n">
        <v>0</v>
      </c>
      <c r="R138" s="63" t="n">
        <v>0</v>
      </c>
      <c r="S138" s="63" t="n">
        <v>0</v>
      </c>
      <c r="T138" s="63" t="n">
        <v>5</v>
      </c>
      <c r="U138" s="63" t="n">
        <v>0.5263157895</v>
      </c>
      <c r="V138" s="63" t="str"/>
      <c r="W138" s="63" t="n">
        <v>0</v>
      </c>
      <c r="X138" s="63" t="str"/>
      <c r="Y138" s="63" t="inlineStr">
        <is>
          <t>Sí</t>
        </is>
      </c>
      <c r="Z138" s="63" t="inlineStr">
        <is>
          <t>No</t>
        </is>
      </c>
      <c r="AA138" s="63" t="inlineStr">
        <is>
          <t>Sí</t>
        </is>
      </c>
      <c r="AB138" s="63" t="inlineStr">
        <is>
          <t>No</t>
        </is>
      </c>
      <c r="AC138" s="63" t="str"/>
      <c r="AD138" s="64" t="str"/>
    </row>
    <row r="139">
      <c r="A139" s="62" t="inlineStr">
        <is>
          <t>Marzo 2026</t>
        </is>
      </c>
      <c r="B139" s="63" t="n"/>
      <c r="C139" s="63" t="inlineStr">
        <is>
          <t>Facebook</t>
        </is>
      </c>
      <c r="D139" s="63" t="inlineStr">
        <is>
          <t>CONCURSO</t>
        </is>
      </c>
      <c r="E139" s="63" t="inlineStr">
        <is>
          <t>STORY</t>
        </is>
      </c>
      <c r="F139" s="63" t="inlineStr">
        <is>
          <t>maicao</t>
        </is>
      </c>
      <c r="G139" s="63" t="inlineStr">
        <is>
          <t>anuncio ganador samy</t>
        </is>
      </c>
      <c r="H139" s="63" t="str"/>
      <c r="I139" s="63" t="str"/>
      <c r="J139" s="63" t="str"/>
      <c r="K139" s="63" t="n">
        <v>2112</v>
      </c>
      <c r="L139" s="63" t="n">
        <v>1988</v>
      </c>
      <c r="M139" s="63" t="n">
        <v>7</v>
      </c>
      <c r="N139" s="63" t="n">
        <v>0</v>
      </c>
      <c r="O139" s="63" t="n">
        <v>0</v>
      </c>
      <c r="P139" s="63" t="n">
        <v>0</v>
      </c>
      <c r="Q139" s="63" t="n">
        <v>0</v>
      </c>
      <c r="R139" s="63" t="n">
        <v>0</v>
      </c>
      <c r="S139" s="63" t="n">
        <v>0</v>
      </c>
      <c r="T139" s="63" t="n">
        <v>7</v>
      </c>
      <c r="U139" s="63" t="n">
        <v>0.3521126761</v>
      </c>
      <c r="V139" s="63" t="str"/>
      <c r="W139" s="63" t="n">
        <v>0</v>
      </c>
      <c r="X139" s="63" t="str"/>
      <c r="Y139" s="63" t="inlineStr">
        <is>
          <t>Sí</t>
        </is>
      </c>
      <c r="Z139" s="63" t="inlineStr">
        <is>
          <t>Sí</t>
        </is>
      </c>
      <c r="AA139" s="63" t="inlineStr">
        <is>
          <t>No</t>
        </is>
      </c>
      <c r="AB139" s="63" t="inlineStr">
        <is>
          <t>Sí</t>
        </is>
      </c>
      <c r="AC139" s="63" t="str"/>
      <c r="AD139" s="64" t="str"/>
    </row>
    <row r="140">
      <c r="A140" s="62" t="inlineStr">
        <is>
          <t>Marzo 2026</t>
        </is>
      </c>
      <c r="B140" s="63" t="n"/>
      <c r="C140" s="63" t="inlineStr">
        <is>
          <t>Facebook</t>
        </is>
      </c>
      <c r="D140" s="63" t="inlineStr">
        <is>
          <t>CAMPAÑA</t>
        </is>
      </c>
      <c r="E140" s="63" t="inlineStr">
        <is>
          <t>STORY</t>
        </is>
      </c>
      <c r="F140" s="63" t="inlineStr">
        <is>
          <t>maicao</t>
        </is>
      </c>
      <c r="G140" s="63" t="inlineStr">
        <is>
          <t>ofertas black</t>
        </is>
      </c>
      <c r="H140" s="63" t="str"/>
      <c r="I140" s="63" t="str"/>
      <c r="J140" s="63" t="str"/>
      <c r="K140" s="63" t="n">
        <v>1129</v>
      </c>
      <c r="L140" s="63" t="n">
        <v>4</v>
      </c>
      <c r="M140" s="63" t="n">
        <v>0</v>
      </c>
      <c r="N140" s="63" t="n">
        <v>0</v>
      </c>
      <c r="O140" s="63" t="n">
        <v>0</v>
      </c>
      <c r="P140" s="63" t="n">
        <v>0</v>
      </c>
      <c r="Q140" s="63" t="n">
        <v>0</v>
      </c>
      <c r="R140" s="63" t="n">
        <v>0</v>
      </c>
      <c r="S140" s="63" t="n">
        <v>0</v>
      </c>
      <c r="T140" s="63" t="n">
        <v>0</v>
      </c>
      <c r="U140" s="63" t="n">
        <v>0</v>
      </c>
      <c r="V140" s="63" t="str"/>
      <c r="W140" s="63" t="n">
        <v>0</v>
      </c>
      <c r="X140" s="63" t="str"/>
      <c r="Y140" s="63" t="inlineStr">
        <is>
          <t>Sí</t>
        </is>
      </c>
      <c r="Z140" s="63" t="inlineStr">
        <is>
          <t>Sí</t>
        </is>
      </c>
      <c r="AA140" s="63" t="inlineStr">
        <is>
          <t>No</t>
        </is>
      </c>
      <c r="AB140" s="63" t="inlineStr">
        <is>
          <t>No</t>
        </is>
      </c>
      <c r="AC140" s="63" t="str"/>
      <c r="AD140" s="64" t="str"/>
    </row>
    <row r="141">
      <c r="A141" s="62" t="inlineStr">
        <is>
          <t>Marzo 2026</t>
        </is>
      </c>
      <c r="B141" s="63" t="n"/>
      <c r="C141" s="63" t="inlineStr">
        <is>
          <t>Facebook</t>
        </is>
      </c>
      <c r="D141" s="63" t="inlineStr">
        <is>
          <t>EXTRA</t>
        </is>
      </c>
      <c r="E141" s="63" t="inlineStr">
        <is>
          <t>STORY</t>
        </is>
      </c>
      <c r="F141" s="63" t="inlineStr">
        <is>
          <t>maicao</t>
        </is>
      </c>
      <c r="G141" s="63" t="inlineStr">
        <is>
          <t>repost story orgánica seguidor</t>
        </is>
      </c>
      <c r="H141" s="63" t="str"/>
      <c r="I141" s="63" t="str"/>
      <c r="J141" s="63" t="str"/>
      <c r="K141" s="63" t="n">
        <v>1400</v>
      </c>
      <c r="L141" s="63" t="n">
        <v>1392</v>
      </c>
      <c r="M141" s="63" t="n">
        <v>1</v>
      </c>
      <c r="N141" s="63" t="n">
        <v>0</v>
      </c>
      <c r="O141" s="63" t="n">
        <v>0</v>
      </c>
      <c r="P141" s="63" t="n">
        <v>0</v>
      </c>
      <c r="Q141" s="63" t="n">
        <v>0</v>
      </c>
      <c r="R141" s="63" t="n">
        <v>0</v>
      </c>
      <c r="S141" s="63" t="n">
        <v>0</v>
      </c>
      <c r="T141" s="63" t="n">
        <v>1</v>
      </c>
      <c r="U141" s="63" t="n">
        <v>0.07183908046</v>
      </c>
      <c r="V141" s="63" t="str"/>
      <c r="W141" s="63" t="n">
        <v>0</v>
      </c>
      <c r="X141" s="63" t="str"/>
      <c r="Y141" s="63" t="inlineStr">
        <is>
          <t>Sí</t>
        </is>
      </c>
      <c r="Z141" s="63" t="inlineStr">
        <is>
          <t>Sí</t>
        </is>
      </c>
      <c r="AA141" s="63" t="inlineStr">
        <is>
          <t>No</t>
        </is>
      </c>
      <c r="AB141" s="63" t="inlineStr">
        <is>
          <t>No</t>
        </is>
      </c>
      <c r="AC141" s="63" t="str"/>
      <c r="AD141" s="64" t="str"/>
    </row>
    <row r="142">
      <c r="A142" s="62" t="inlineStr">
        <is>
          <t>Marzo 2026</t>
        </is>
      </c>
      <c r="B142" s="63" t="n"/>
      <c r="C142" s="63" t="inlineStr">
        <is>
          <t>Facebook</t>
        </is>
      </c>
      <c r="D142" s="63" t="inlineStr">
        <is>
          <t>SQUAD</t>
        </is>
      </c>
      <c r="E142" s="63" t="inlineStr">
        <is>
          <t>STORY</t>
        </is>
      </c>
      <c r="F142" s="63" t="inlineStr">
        <is>
          <t>maicao</t>
        </is>
      </c>
      <c r="G142" s="63" t="inlineStr">
        <is>
          <t xml:space="preserve">repost disley nivea bridgerton </t>
        </is>
      </c>
      <c r="H142" s="63" t="str"/>
      <c r="I142" s="63" t="str"/>
      <c r="J142" s="63" t="str"/>
      <c r="K142" s="63" t="n">
        <v>3147</v>
      </c>
      <c r="L142" s="63" t="n">
        <v>2989</v>
      </c>
      <c r="M142" s="63" t="n">
        <v>19</v>
      </c>
      <c r="N142" s="63" t="n">
        <v>0</v>
      </c>
      <c r="O142" s="63" t="n">
        <v>0</v>
      </c>
      <c r="P142" s="63" t="n">
        <v>0</v>
      </c>
      <c r="Q142" s="63" t="n">
        <v>0</v>
      </c>
      <c r="R142" s="63" t="n">
        <v>0</v>
      </c>
      <c r="S142" s="63" t="n">
        <v>0</v>
      </c>
      <c r="T142" s="63" t="n">
        <v>19</v>
      </c>
      <c r="U142" s="63" t="n">
        <v>0.6356641017</v>
      </c>
      <c r="V142" s="63" t="str"/>
      <c r="W142" s="63" t="n">
        <v>0</v>
      </c>
      <c r="X142" s="63" t="str"/>
      <c r="Y142" s="63" t="inlineStr">
        <is>
          <t>Sí</t>
        </is>
      </c>
      <c r="Z142" s="63" t="inlineStr">
        <is>
          <t>No</t>
        </is>
      </c>
      <c r="AA142" s="63" t="inlineStr">
        <is>
          <t>Sí</t>
        </is>
      </c>
      <c r="AB142" s="63" t="inlineStr">
        <is>
          <t>No</t>
        </is>
      </c>
      <c r="AC142" s="63" t="str"/>
      <c r="AD142" s="64" t="str"/>
    </row>
    <row r="143">
      <c r="A143" s="62" t="inlineStr">
        <is>
          <t>Marzo 2026</t>
        </is>
      </c>
      <c r="B143" s="63" t="n"/>
      <c r="C143" s="63" t="inlineStr">
        <is>
          <t>Facebook</t>
        </is>
      </c>
      <c r="D143" s="63" t="inlineStr">
        <is>
          <t>SQUAD</t>
        </is>
      </c>
      <c r="E143" s="63" t="inlineStr">
        <is>
          <t>STORY</t>
        </is>
      </c>
      <c r="F143" s="63" t="inlineStr">
        <is>
          <t>maicao</t>
        </is>
      </c>
      <c r="G143" s="63" t="inlineStr">
        <is>
          <t>ofertas black</t>
        </is>
      </c>
      <c r="H143" s="63" t="str"/>
      <c r="I143" s="63" t="str"/>
      <c r="J143" s="63" t="str"/>
      <c r="K143" s="63" t="n">
        <v>2227</v>
      </c>
      <c r="L143" s="63" t="n">
        <v>2167</v>
      </c>
      <c r="M143" s="63" t="n">
        <v>9</v>
      </c>
      <c r="N143" s="63" t="n">
        <v>0</v>
      </c>
      <c r="O143" s="63" t="n">
        <v>0</v>
      </c>
      <c r="P143" s="63" t="n">
        <v>0</v>
      </c>
      <c r="Q143" s="63" t="n">
        <v>0</v>
      </c>
      <c r="R143" s="63" t="n">
        <v>0</v>
      </c>
      <c r="S143" s="63" t="n">
        <v>0</v>
      </c>
      <c r="T143" s="63" t="n">
        <v>9</v>
      </c>
      <c r="U143" s="63" t="n">
        <v>0.4153207199</v>
      </c>
      <c r="V143" s="63" t="str"/>
      <c r="W143" s="63" t="n">
        <v>0</v>
      </c>
      <c r="X143" s="63" t="str"/>
      <c r="Y143" s="63" t="inlineStr">
        <is>
          <t>Sí</t>
        </is>
      </c>
      <c r="Z143" s="63" t="inlineStr">
        <is>
          <t>No</t>
        </is>
      </c>
      <c r="AA143" s="63" t="inlineStr">
        <is>
          <t>Sí</t>
        </is>
      </c>
      <c r="AB143" s="63" t="inlineStr">
        <is>
          <t>No</t>
        </is>
      </c>
      <c r="AC143" s="63" t="str"/>
      <c r="AD143" s="64" t="str"/>
    </row>
    <row r="144">
      <c r="A144" s="62" t="inlineStr">
        <is>
          <t>Marzo 2026</t>
        </is>
      </c>
      <c r="B144" s="63" t="n"/>
      <c r="C144" s="63" t="inlineStr">
        <is>
          <t>Facebook</t>
        </is>
      </c>
      <c r="D144" s="63" t="inlineStr">
        <is>
          <t>SAMY</t>
        </is>
      </c>
      <c r="E144" s="63" t="inlineStr">
        <is>
          <t>STORY</t>
        </is>
      </c>
      <c r="F144" s="63" t="inlineStr">
        <is>
          <t>maicao</t>
        </is>
      </c>
      <c r="G144" s="63" t="inlineStr">
        <is>
          <t>repost velybeauty</t>
        </is>
      </c>
      <c r="H144" s="63" t="str"/>
      <c r="I144" s="63" t="str"/>
      <c r="J144" s="63" t="str"/>
      <c r="K144" s="63" t="n">
        <v>1021</v>
      </c>
      <c r="L144" s="63" t="n">
        <v>975</v>
      </c>
      <c r="M144" s="63" t="n">
        <v>2</v>
      </c>
      <c r="N144" s="63" t="n">
        <v>0</v>
      </c>
      <c r="O144" s="63" t="n">
        <v>0</v>
      </c>
      <c r="P144" s="63" t="n">
        <v>0</v>
      </c>
      <c r="Q144" s="63" t="n">
        <v>0</v>
      </c>
      <c r="R144" s="63" t="n">
        <v>0</v>
      </c>
      <c r="S144" s="63" t="n">
        <v>0</v>
      </c>
      <c r="T144" s="63" t="n">
        <v>2</v>
      </c>
      <c r="U144" s="63" t="n">
        <v>0.2051282051</v>
      </c>
      <c r="V144" s="63" t="str"/>
      <c r="W144" s="63" t="n">
        <v>0</v>
      </c>
      <c r="X144" s="63" t="str"/>
      <c r="Y144" s="63" t="inlineStr">
        <is>
          <t>Sí</t>
        </is>
      </c>
      <c r="Z144" s="63" t="inlineStr">
        <is>
          <t>Sí</t>
        </is>
      </c>
      <c r="AA144" s="63" t="inlineStr">
        <is>
          <t>No</t>
        </is>
      </c>
      <c r="AB144" s="63" t="inlineStr">
        <is>
          <t>No</t>
        </is>
      </c>
      <c r="AC144" s="63" t="str"/>
      <c r="AD144" s="64" t="str"/>
    </row>
    <row r="145">
      <c r="A145" s="62" t="inlineStr">
        <is>
          <t>Marzo 2026</t>
        </is>
      </c>
      <c r="B145" s="63" t="n"/>
      <c r="C145" s="63" t="inlineStr">
        <is>
          <t>Facebook</t>
        </is>
      </c>
      <c r="D145" s="63" t="inlineStr">
        <is>
          <t>CAMPAÑA</t>
        </is>
      </c>
      <c r="E145" s="63" t="inlineStr">
        <is>
          <t>STORY</t>
        </is>
      </c>
      <c r="F145" s="63" t="inlineStr">
        <is>
          <t>maicao</t>
        </is>
      </c>
      <c r="G145" s="63" t="inlineStr">
        <is>
          <t>ofertas black</t>
        </is>
      </c>
      <c r="H145" s="63" t="str"/>
      <c r="I145" s="63" t="str"/>
      <c r="J145" s="63" t="str"/>
      <c r="K145" s="63" t="n">
        <v>1608</v>
      </c>
      <c r="L145" s="63" t="n">
        <v>1458</v>
      </c>
      <c r="M145" s="63" t="n">
        <v>6</v>
      </c>
      <c r="N145" s="63" t="n">
        <v>0</v>
      </c>
      <c r="O145" s="63" t="n">
        <v>0</v>
      </c>
      <c r="P145" s="63" t="n">
        <v>0</v>
      </c>
      <c r="Q145" s="63" t="n">
        <v>0</v>
      </c>
      <c r="R145" s="63" t="n">
        <v>0</v>
      </c>
      <c r="S145" s="63" t="n">
        <v>0</v>
      </c>
      <c r="T145" s="63" t="n">
        <v>6</v>
      </c>
      <c r="U145" s="63" t="n">
        <v>0.4115226337</v>
      </c>
      <c r="V145" s="63" t="str"/>
      <c r="W145" s="63" t="n">
        <v>0</v>
      </c>
      <c r="X145" s="63" t="str"/>
      <c r="Y145" s="63" t="inlineStr">
        <is>
          <t>Sí</t>
        </is>
      </c>
      <c r="Z145" s="63" t="inlineStr">
        <is>
          <t>Sí</t>
        </is>
      </c>
      <c r="AA145" s="63" t="inlineStr">
        <is>
          <t>No</t>
        </is>
      </c>
      <c r="AB145" s="63" t="inlineStr">
        <is>
          <t>No</t>
        </is>
      </c>
      <c r="AC145" s="63" t="str"/>
      <c r="AD145" s="64" t="str"/>
    </row>
    <row r="146">
      <c r="A146" s="62" t="inlineStr">
        <is>
          <t>Marzo 2026</t>
        </is>
      </c>
      <c r="B146" s="63" t="n"/>
      <c r="C146" s="63" t="inlineStr">
        <is>
          <t>Facebook</t>
        </is>
      </c>
      <c r="D146" s="63" t="inlineStr">
        <is>
          <t>CAMPAÑA</t>
        </is>
      </c>
      <c r="E146" s="63" t="inlineStr">
        <is>
          <t>STORY</t>
        </is>
      </c>
      <c r="F146" s="63" t="inlineStr">
        <is>
          <t>maicao</t>
        </is>
      </c>
      <c r="G146" s="63" t="inlineStr">
        <is>
          <t>ofertas black</t>
        </is>
      </c>
      <c r="H146" s="63" t="str"/>
      <c r="I146" s="63" t="str"/>
      <c r="J146" s="63" t="str"/>
      <c r="K146" s="63" t="n">
        <v>1664</v>
      </c>
      <c r="L146" s="63" t="n">
        <v>1606</v>
      </c>
      <c r="M146" s="63" t="n">
        <v>6</v>
      </c>
      <c r="N146" s="63" t="n">
        <v>0</v>
      </c>
      <c r="O146" s="63" t="n">
        <v>0</v>
      </c>
      <c r="P146" s="63" t="n">
        <v>0</v>
      </c>
      <c r="Q146" s="63" t="n">
        <v>0</v>
      </c>
      <c r="R146" s="63" t="n">
        <v>0</v>
      </c>
      <c r="S146" s="63" t="n">
        <v>0</v>
      </c>
      <c r="T146" s="63" t="n">
        <v>6</v>
      </c>
      <c r="U146" s="63" t="n">
        <v>0.3735990037</v>
      </c>
      <c r="V146" s="63" t="str"/>
      <c r="W146" s="63" t="n">
        <v>0</v>
      </c>
      <c r="X146" s="63" t="str"/>
      <c r="Y146" s="63" t="inlineStr">
        <is>
          <t>Sí</t>
        </is>
      </c>
      <c r="Z146" s="63" t="inlineStr">
        <is>
          <t>Sí</t>
        </is>
      </c>
      <c r="AA146" s="63" t="inlineStr">
        <is>
          <t>No</t>
        </is>
      </c>
      <c r="AB146" s="63" t="inlineStr">
        <is>
          <t>No</t>
        </is>
      </c>
      <c r="AC146" s="63" t="str"/>
      <c r="AD146" s="64" t="str"/>
    </row>
    <row r="147">
      <c r="A147" s="62" t="inlineStr">
        <is>
          <t>Marzo 2026</t>
        </is>
      </c>
      <c r="B147" s="63" t="n"/>
      <c r="C147" s="63" t="inlineStr">
        <is>
          <t>Facebook</t>
        </is>
      </c>
      <c r="D147" s="63" t="inlineStr">
        <is>
          <t>CAMPAÑA</t>
        </is>
      </c>
      <c r="E147" s="63" t="inlineStr">
        <is>
          <t>STORY</t>
        </is>
      </c>
      <c r="F147" s="63" t="inlineStr">
        <is>
          <t>maicao</t>
        </is>
      </c>
      <c r="G147" s="63" t="inlineStr">
        <is>
          <t>ofertas black</t>
        </is>
      </c>
      <c r="H147" s="63" t="str"/>
      <c r="I147" s="63" t="str"/>
      <c r="J147" s="63" t="str"/>
      <c r="K147" s="63" t="n">
        <v>1073</v>
      </c>
      <c r="L147" s="63" t="n">
        <v>980</v>
      </c>
      <c r="M147" s="63" t="n">
        <v>7</v>
      </c>
      <c r="N147" s="63" t="n">
        <v>0</v>
      </c>
      <c r="O147" s="63" t="n">
        <v>0</v>
      </c>
      <c r="P147" s="63" t="n">
        <v>0</v>
      </c>
      <c r="Q147" s="63" t="n">
        <v>0</v>
      </c>
      <c r="R147" s="63" t="n">
        <v>0</v>
      </c>
      <c r="S147" s="63" t="n">
        <v>0</v>
      </c>
      <c r="T147" s="63" t="n">
        <v>7</v>
      </c>
      <c r="U147" s="63" t="n">
        <v>0.7142857143</v>
      </c>
      <c r="V147" s="63" t="str"/>
      <c r="W147" s="63" t="n">
        <v>0</v>
      </c>
      <c r="X147" s="63" t="str"/>
      <c r="Y147" s="63" t="inlineStr">
        <is>
          <t>Sí</t>
        </is>
      </c>
      <c r="Z147" s="63" t="inlineStr">
        <is>
          <t>Sí</t>
        </is>
      </c>
      <c r="AA147" s="63" t="inlineStr">
        <is>
          <t>No</t>
        </is>
      </c>
      <c r="AB147" s="63" t="inlineStr">
        <is>
          <t>No</t>
        </is>
      </c>
      <c r="AC147" s="63" t="str"/>
      <c r="AD147" s="64" t="str"/>
    </row>
    <row r="148">
      <c r="A148" s="62" t="inlineStr">
        <is>
          <t>Marzo 2026</t>
        </is>
      </c>
      <c r="B148" s="63" t="n"/>
      <c r="C148" s="63" t="inlineStr">
        <is>
          <t>Facebook</t>
        </is>
      </c>
      <c r="D148" s="63" t="inlineStr">
        <is>
          <t>CAMPAÑA</t>
        </is>
      </c>
      <c r="E148" s="63" t="inlineStr">
        <is>
          <t>STORY</t>
        </is>
      </c>
      <c r="F148" s="63" t="inlineStr">
        <is>
          <t>maicao</t>
        </is>
      </c>
      <c r="G148" s="63" t="inlineStr">
        <is>
          <t>ofertas black</t>
        </is>
      </c>
      <c r="H148" s="63" t="str"/>
      <c r="I148" s="63" t="str"/>
      <c r="J148" s="63" t="str"/>
      <c r="K148" s="63" t="n">
        <v>1014</v>
      </c>
      <c r="L148" s="63" t="n">
        <v>935</v>
      </c>
      <c r="M148" s="63" t="n">
        <v>5</v>
      </c>
      <c r="N148" s="63" t="n">
        <v>0</v>
      </c>
      <c r="O148" s="63" t="n">
        <v>0</v>
      </c>
      <c r="P148" s="63" t="n">
        <v>0</v>
      </c>
      <c r="Q148" s="63" t="n">
        <v>0</v>
      </c>
      <c r="R148" s="63" t="n">
        <v>0</v>
      </c>
      <c r="S148" s="63" t="n">
        <v>0</v>
      </c>
      <c r="T148" s="63" t="n">
        <v>5</v>
      </c>
      <c r="U148" s="63" t="n">
        <v>0.5347593583</v>
      </c>
      <c r="V148" s="63" t="str"/>
      <c r="W148" s="63" t="n">
        <v>0</v>
      </c>
      <c r="X148" s="63" t="str"/>
      <c r="Y148" s="63" t="inlineStr">
        <is>
          <t>Sí</t>
        </is>
      </c>
      <c r="Z148" s="63" t="inlineStr">
        <is>
          <t>Sí</t>
        </is>
      </c>
      <c r="AA148" s="63" t="inlineStr">
        <is>
          <t>No</t>
        </is>
      </c>
      <c r="AB148" s="63" t="inlineStr">
        <is>
          <t>No</t>
        </is>
      </c>
      <c r="AC148" s="63" t="str"/>
      <c r="AD148" s="64" t="str"/>
    </row>
    <row r="149">
      <c r="A149" s="62" t="inlineStr">
        <is>
          <t>Marzo 2026</t>
        </is>
      </c>
      <c r="B149" s="63" t="n"/>
      <c r="C149" s="63" t="inlineStr">
        <is>
          <t>Facebook</t>
        </is>
      </c>
      <c r="D149" s="63" t="inlineStr">
        <is>
          <t>SABRINA CARPENTER</t>
        </is>
      </c>
      <c r="E149" s="63" t="inlineStr">
        <is>
          <t>STORY</t>
        </is>
      </c>
      <c r="F149" s="63" t="inlineStr">
        <is>
          <t>maicao</t>
        </is>
      </c>
      <c r="G149" s="63" t="inlineStr">
        <is>
          <t>teaser sabrina carpenter</t>
        </is>
      </c>
      <c r="H149" s="63" t="str"/>
      <c r="I149" s="63" t="str"/>
      <c r="J149" s="63" t="str"/>
      <c r="K149" s="63" t="n">
        <v>384</v>
      </c>
      <c r="L149" s="63" t="n">
        <v>369</v>
      </c>
      <c r="M149" s="63" t="n">
        <v>3</v>
      </c>
      <c r="N149" s="63" t="n">
        <v>0</v>
      </c>
      <c r="O149" s="63" t="n">
        <v>0</v>
      </c>
      <c r="P149" s="63" t="n">
        <v>0</v>
      </c>
      <c r="Q149" s="63" t="n">
        <v>0</v>
      </c>
      <c r="R149" s="63" t="n">
        <v>0</v>
      </c>
      <c r="S149" s="63" t="n">
        <v>0</v>
      </c>
      <c r="T149" s="63" t="n">
        <v>3</v>
      </c>
      <c r="U149" s="63" t="n">
        <v>0.8130081300999999</v>
      </c>
      <c r="V149" s="63" t="str"/>
      <c r="W149" s="63" t="n">
        <v>0</v>
      </c>
      <c r="X149" s="63" t="str"/>
      <c r="Y149" s="63" t="inlineStr">
        <is>
          <t>Sí</t>
        </is>
      </c>
      <c r="Z149" s="63" t="inlineStr">
        <is>
          <t>Sí</t>
        </is>
      </c>
      <c r="AA149" s="63" t="inlineStr">
        <is>
          <t>No</t>
        </is>
      </c>
      <c r="AB149" s="63" t="inlineStr">
        <is>
          <t>No</t>
        </is>
      </c>
      <c r="AC149" s="63" t="str"/>
      <c r="AD149" s="64" t="str"/>
    </row>
    <row r="150">
      <c r="A150" s="62" t="inlineStr">
        <is>
          <t>Marzo 2026</t>
        </is>
      </c>
      <c r="B150" s="63" t="n"/>
      <c r="C150" s="63" t="inlineStr">
        <is>
          <t>Instagram</t>
        </is>
      </c>
      <c r="D150" s="63" t="inlineStr">
        <is>
          <t>SQUAD</t>
        </is>
      </c>
      <c r="E150" s="63" t="inlineStr">
        <is>
          <t>REEL</t>
        </is>
      </c>
      <c r="F150" s="63" t="inlineStr">
        <is>
          <t>maicao y Busqui</t>
        </is>
      </c>
      <c r="G150" s="63" t="inlineStr">
        <is>
          <t>Marzo con todo MMPP</t>
        </is>
      </c>
      <c r="H150" s="63" t="str"/>
      <c r="I150" s="63" t="str"/>
      <c r="J150" s="63" t="str"/>
      <c r="K150" s="63" t="n">
        <v>35769</v>
      </c>
      <c r="L150" s="63" t="n">
        <v>16026</v>
      </c>
      <c r="M150" s="63" t="n">
        <v>313</v>
      </c>
      <c r="N150" s="63" t="n">
        <v>29</v>
      </c>
      <c r="O150" s="63" t="n">
        <v>17</v>
      </c>
      <c r="P150" s="63" t="n">
        <v>4</v>
      </c>
      <c r="Q150" s="63" t="n">
        <v>19</v>
      </c>
      <c r="R150" s="63" t="inlineStr">
        <is>
          <t>N/A</t>
        </is>
      </c>
      <c r="S150" s="63" t="inlineStr">
        <is>
          <t>N/A</t>
        </is>
      </c>
      <c r="T150" s="63" t="n">
        <v>382</v>
      </c>
      <c r="U150" s="63" t="n">
        <v>2.383626607</v>
      </c>
      <c r="V150" s="63" t="str"/>
      <c r="W150" s="63" t="n">
        <v>0</v>
      </c>
      <c r="X150" s="63" t="str"/>
      <c r="Y150" s="63" t="inlineStr">
        <is>
          <t>Sí</t>
        </is>
      </c>
      <c r="Z150" s="63" t="inlineStr">
        <is>
          <t>No</t>
        </is>
      </c>
      <c r="AA150" s="63" t="inlineStr">
        <is>
          <t>Sí</t>
        </is>
      </c>
      <c r="AB150" s="63" t="inlineStr">
        <is>
          <t>Sí</t>
        </is>
      </c>
      <c r="AC150" s="63" t="str"/>
      <c r="AD150" s="64" t="str"/>
    </row>
    <row r="151">
      <c r="A151" s="62" t="inlineStr">
        <is>
          <t>Marzo 2026</t>
        </is>
      </c>
      <c r="B151" s="63" t="n"/>
      <c r="C151" s="63" t="inlineStr">
        <is>
          <t>Instagram</t>
        </is>
      </c>
      <c r="D151" s="63" t="inlineStr">
        <is>
          <t>SQUAD</t>
        </is>
      </c>
      <c r="E151" s="63" t="inlineStr">
        <is>
          <t>STORY</t>
        </is>
      </c>
      <c r="F151" s="63" t="inlineStr">
        <is>
          <t>Busqui</t>
        </is>
      </c>
      <c r="G151" s="63" t="inlineStr">
        <is>
          <t>ST 1 Solares</t>
        </is>
      </c>
      <c r="H151" s="63" t="str"/>
      <c r="I151" s="63" t="str"/>
      <c r="J151" s="63" t="str"/>
      <c r="K151" s="63" t="n">
        <v>16742</v>
      </c>
      <c r="L151" s="63" t="n">
        <v>14565</v>
      </c>
      <c r="M151" s="63" t="n">
        <v>37</v>
      </c>
      <c r="N151" s="63" t="n">
        <v>3</v>
      </c>
      <c r="O151" s="63" t="n">
        <v>4</v>
      </c>
      <c r="P151" s="63" t="inlineStr">
        <is>
          <t>N/A</t>
        </is>
      </c>
      <c r="Q151" s="63" t="inlineStr">
        <is>
          <t>N/A</t>
        </is>
      </c>
      <c r="R151" s="63" t="n">
        <v>4</v>
      </c>
      <c r="S151" s="63" t="n">
        <v>22</v>
      </c>
      <c r="T151" s="63" t="n">
        <v>70</v>
      </c>
      <c r="U151" s="63" t="n">
        <v>0.4806041881</v>
      </c>
      <c r="V151" s="63" t="str"/>
      <c r="W151" s="63" t="n">
        <v>0</v>
      </c>
      <c r="X151" s="63" t="str"/>
      <c r="Y151" s="63" t="inlineStr">
        <is>
          <t>Sí</t>
        </is>
      </c>
      <c r="Z151" s="63" t="inlineStr">
        <is>
          <t>No</t>
        </is>
      </c>
      <c r="AA151" s="63" t="inlineStr">
        <is>
          <t>Sí</t>
        </is>
      </c>
      <c r="AB151" s="63" t="inlineStr">
        <is>
          <t>No</t>
        </is>
      </c>
      <c r="AC151" s="63" t="str"/>
      <c r="AD151" s="64" t="str"/>
    </row>
    <row r="152">
      <c r="A152" s="62" t="inlineStr">
        <is>
          <t>Marzo 2026</t>
        </is>
      </c>
      <c r="B152" s="63" t="n"/>
      <c r="C152" s="63" t="inlineStr">
        <is>
          <t>Instagram</t>
        </is>
      </c>
      <c r="D152" s="63" t="inlineStr">
        <is>
          <t>SQUAD</t>
        </is>
      </c>
      <c r="E152" s="63" t="inlineStr">
        <is>
          <t>STORY</t>
        </is>
      </c>
      <c r="F152" s="63" t="inlineStr">
        <is>
          <t>Busqui</t>
        </is>
      </c>
      <c r="G152" s="63" t="inlineStr">
        <is>
          <t>ST 2 Ofertas MMPP</t>
        </is>
      </c>
      <c r="H152" s="63" t="str"/>
      <c r="I152" s="63" t="str"/>
      <c r="J152" s="63" t="str"/>
      <c r="K152" s="63" t="n">
        <v>20360</v>
      </c>
      <c r="L152" s="63" t="n">
        <v>17637</v>
      </c>
      <c r="M152" s="63" t="n">
        <v>85</v>
      </c>
      <c r="N152" s="63" t="n">
        <v>3</v>
      </c>
      <c r="O152" s="63" t="n">
        <v>21</v>
      </c>
      <c r="P152" s="63" t="inlineStr">
        <is>
          <t>N/A</t>
        </is>
      </c>
      <c r="Q152" s="63" t="inlineStr">
        <is>
          <t>N/A</t>
        </is>
      </c>
      <c r="R152" s="63" t="inlineStr">
        <is>
          <t>N/A</t>
        </is>
      </c>
      <c r="S152" s="63" t="n">
        <v>88</v>
      </c>
      <c r="T152" s="63" t="n">
        <v>197</v>
      </c>
      <c r="U152" s="63" t="n">
        <v>1.116970006</v>
      </c>
      <c r="V152" s="63" t="str"/>
      <c r="W152" s="63" t="n">
        <v>0</v>
      </c>
      <c r="X152" s="63" t="str"/>
      <c r="Y152" s="63" t="inlineStr">
        <is>
          <t>Sí</t>
        </is>
      </c>
      <c r="Z152" s="63" t="inlineStr">
        <is>
          <t>No</t>
        </is>
      </c>
      <c r="AA152" s="63" t="inlineStr">
        <is>
          <t>Sí</t>
        </is>
      </c>
      <c r="AB152" s="63" t="inlineStr">
        <is>
          <t>Sí</t>
        </is>
      </c>
      <c r="AC152" s="63" t="str"/>
      <c r="AD152" s="64" t="str"/>
    </row>
    <row r="153">
      <c r="A153" s="62" t="inlineStr">
        <is>
          <t>Marzo 2026</t>
        </is>
      </c>
      <c r="B153" s="63" t="n"/>
      <c r="C153" s="63" t="inlineStr">
        <is>
          <t>Instagram</t>
        </is>
      </c>
      <c r="D153" s="63" t="inlineStr">
        <is>
          <t>SQUAD</t>
        </is>
      </c>
      <c r="E153" s="63" t="inlineStr">
        <is>
          <t>STORY</t>
        </is>
      </c>
      <c r="F153" s="63" t="inlineStr">
        <is>
          <t>Busqui</t>
        </is>
      </c>
      <c r="G153" s="63" t="inlineStr">
        <is>
          <t>ST 3 Fragancias</t>
        </is>
      </c>
      <c r="H153" s="63" t="str"/>
      <c r="I153" s="63" t="str"/>
      <c r="J153" s="63" t="str"/>
      <c r="K153" s="63" t="n">
        <v>15004</v>
      </c>
      <c r="L153" s="63" t="n">
        <v>12783</v>
      </c>
      <c r="M153" s="63" t="n">
        <v>28</v>
      </c>
      <c r="N153" s="63" t="n">
        <v>6</v>
      </c>
      <c r="O153" s="63" t="n">
        <v>4</v>
      </c>
      <c r="P153" s="63" t="inlineStr">
        <is>
          <t>N/A</t>
        </is>
      </c>
      <c r="Q153" s="63" t="inlineStr">
        <is>
          <t>N/A</t>
        </is>
      </c>
      <c r="R153" s="63" t="n">
        <v>4</v>
      </c>
      <c r="S153" s="63" t="inlineStr">
        <is>
          <t>N/A</t>
        </is>
      </c>
      <c r="T153" s="63" t="n">
        <v>42</v>
      </c>
      <c r="U153" s="63" t="n">
        <v>0.3285613706</v>
      </c>
      <c r="V153" s="63" t="str"/>
      <c r="W153" s="63" t="n">
        <v>0</v>
      </c>
      <c r="X153" s="63" t="str"/>
      <c r="Y153" s="63" t="inlineStr">
        <is>
          <t>Sí</t>
        </is>
      </c>
      <c r="Z153" s="63" t="inlineStr">
        <is>
          <t>No</t>
        </is>
      </c>
      <c r="AA153" s="63" t="inlineStr">
        <is>
          <t>Sí</t>
        </is>
      </c>
      <c r="AB153" s="63" t="inlineStr">
        <is>
          <t>No</t>
        </is>
      </c>
      <c r="AC153" s="63" t="str"/>
      <c r="AD153" s="64" t="str"/>
    </row>
    <row r="154">
      <c r="A154" s="62" t="inlineStr">
        <is>
          <t>Marzo 2026</t>
        </is>
      </c>
      <c r="B154" s="63" t="n"/>
      <c r="C154" s="63" t="inlineStr">
        <is>
          <t>TikTok</t>
        </is>
      </c>
      <c r="D154" s="63" t="inlineStr">
        <is>
          <t>SQUAD</t>
        </is>
      </c>
      <c r="E154" s="63" t="inlineStr">
        <is>
          <t>VIDEO</t>
        </is>
      </c>
      <c r="F154" s="63" t="inlineStr">
        <is>
          <t>Skarleth</t>
        </is>
      </c>
      <c r="G154" s="63" t="inlineStr">
        <is>
          <t>GRWM Universidad</t>
        </is>
      </c>
      <c r="H154" s="63" t="str"/>
      <c r="I154" s="63" t="str"/>
      <c r="J154" s="63" t="str"/>
      <c r="K154" s="63" t="n">
        <v>393287</v>
      </c>
      <c r="L154" s="63" t="n">
        <v>336200</v>
      </c>
      <c r="M154" s="63" t="n">
        <v>24000</v>
      </c>
      <c r="N154" s="63" t="n">
        <v>150</v>
      </c>
      <c r="O154" s="63" t="n">
        <v>229</v>
      </c>
      <c r="P154" s="63" t="n">
        <v>61</v>
      </c>
      <c r="Q154" s="63" t="n">
        <v>637</v>
      </c>
      <c r="R154" s="63" t="inlineStr">
        <is>
          <t>N/A</t>
        </is>
      </c>
      <c r="S154" s="63" t="inlineStr">
        <is>
          <t>N/A</t>
        </is>
      </c>
      <c r="T154" s="63" t="n">
        <v>25077</v>
      </c>
      <c r="U154" s="63" t="n">
        <v>7.458953004</v>
      </c>
      <c r="V154" s="63" t="str"/>
      <c r="W154" s="63" t="n">
        <v>0</v>
      </c>
      <c r="X154" s="63" t="str"/>
      <c r="Y154" s="63" t="inlineStr">
        <is>
          <t>Sí</t>
        </is>
      </c>
      <c r="Z154" s="63" t="inlineStr">
        <is>
          <t>No</t>
        </is>
      </c>
      <c r="AA154" s="63" t="inlineStr">
        <is>
          <t>Sí</t>
        </is>
      </c>
      <c r="AB154" s="63" t="inlineStr">
        <is>
          <t>No</t>
        </is>
      </c>
      <c r="AC154" s="63" t="str"/>
      <c r="AD154" s="64" t="str"/>
    </row>
    <row r="155">
      <c r="A155" s="62" t="inlineStr">
        <is>
          <t>Marzo 2026</t>
        </is>
      </c>
      <c r="B155" s="63" t="n"/>
      <c r="C155" s="63" t="inlineStr">
        <is>
          <t>Instagram</t>
        </is>
      </c>
      <c r="D155" s="63" t="inlineStr">
        <is>
          <t>SQUAD</t>
        </is>
      </c>
      <c r="E155" s="63" t="inlineStr">
        <is>
          <t>STORY</t>
        </is>
      </c>
      <c r="F155" s="63" t="inlineStr">
        <is>
          <t>Skarleth</t>
        </is>
      </c>
      <c r="G155" s="63" t="inlineStr">
        <is>
          <t>Dove Capilar</t>
        </is>
      </c>
      <c r="H155" s="63" t="str"/>
      <c r="I155" s="63" t="str"/>
      <c r="J155" s="63" t="str"/>
      <c r="K155" s="63" t="n">
        <v>140756</v>
      </c>
      <c r="L155" s="63" t="n">
        <v>124702</v>
      </c>
      <c r="M155" s="63" t="n">
        <v>1381</v>
      </c>
      <c r="N155" s="63" t="n">
        <v>22</v>
      </c>
      <c r="O155" s="63" t="n">
        <v>13</v>
      </c>
      <c r="P155" s="63" t="inlineStr">
        <is>
          <t>N/A</t>
        </is>
      </c>
      <c r="Q155" s="63" t="inlineStr">
        <is>
          <t>N/A</t>
        </is>
      </c>
      <c r="R155" s="63" t="n">
        <v>145</v>
      </c>
      <c r="S155" s="63" t="n">
        <v>58</v>
      </c>
      <c r="T155" s="63" t="n">
        <v>1619</v>
      </c>
      <c r="U155" s="63" t="n">
        <v>1.298295136</v>
      </c>
      <c r="V155" s="63" t="str"/>
      <c r="W155" s="63" t="n">
        <v>0</v>
      </c>
      <c r="X155" s="63" t="str"/>
      <c r="Y155" s="63" t="inlineStr">
        <is>
          <t>Sí</t>
        </is>
      </c>
      <c r="Z155" s="63" t="inlineStr">
        <is>
          <t>No</t>
        </is>
      </c>
      <c r="AA155" s="63" t="inlineStr">
        <is>
          <t>Sí</t>
        </is>
      </c>
      <c r="AB155" s="63" t="inlineStr">
        <is>
          <t>No</t>
        </is>
      </c>
      <c r="AC155" s="63" t="str"/>
      <c r="AD155" s="64" t="str"/>
    </row>
    <row r="156">
      <c r="A156" s="62" t="inlineStr">
        <is>
          <t>Marzo 2026</t>
        </is>
      </c>
      <c r="B156" s="63" t="n"/>
      <c r="C156" s="63" t="inlineStr">
        <is>
          <t>Instagram</t>
        </is>
      </c>
      <c r="D156" s="63" t="inlineStr">
        <is>
          <t>SQUAD</t>
        </is>
      </c>
      <c r="E156" s="63" t="inlineStr">
        <is>
          <t>CARRUSEL</t>
        </is>
      </c>
      <c r="F156" s="63" t="inlineStr">
        <is>
          <t>maicao y Skar</t>
        </is>
      </c>
      <c r="G156" s="63" t="inlineStr">
        <is>
          <t>skar máscara pestañas bubble</t>
        </is>
      </c>
      <c r="H156" s="63" t="str"/>
      <c r="I156" s="63" t="str"/>
      <c r="J156" s="63" t="inlineStr">
        <is>
          <t>Alcance</t>
        </is>
      </c>
      <c r="K156" s="63" t="n">
        <v>1518143</v>
      </c>
      <c r="L156" s="63" t="n">
        <v>536553</v>
      </c>
      <c r="M156" s="63" t="n">
        <v>17414</v>
      </c>
      <c r="N156" s="63" t="n">
        <v>70</v>
      </c>
      <c r="O156" s="63" t="n">
        <v>351</v>
      </c>
      <c r="P156" s="63" t="n">
        <v>45</v>
      </c>
      <c r="Q156" s="63" t="n">
        <v>216</v>
      </c>
      <c r="R156" s="63" t="n">
        <v>0</v>
      </c>
      <c r="S156" s="63" t="n">
        <v>0</v>
      </c>
      <c r="T156" s="63" t="n">
        <v>18096</v>
      </c>
      <c r="U156" s="63" t="n">
        <v>3.372639795</v>
      </c>
      <c r="V156" s="63" t="inlineStr">
        <is>
          <t>sí</t>
        </is>
      </c>
      <c r="W156" s="63" t="n">
        <v>200000</v>
      </c>
      <c r="X156" s="63" t="n">
        <v>8</v>
      </c>
      <c r="Y156" s="63" t="inlineStr">
        <is>
          <t>Sí</t>
        </is>
      </c>
      <c r="Z156" s="63" t="inlineStr">
        <is>
          <t>No</t>
        </is>
      </c>
      <c r="AA156" s="63" t="inlineStr">
        <is>
          <t>Sí</t>
        </is>
      </c>
      <c r="AB156" s="63" t="inlineStr">
        <is>
          <t>No</t>
        </is>
      </c>
      <c r="AC156" s="63" t="str"/>
      <c r="AD156" s="64" t="str"/>
    </row>
    <row r="157">
      <c r="A157" s="62" t="inlineStr">
        <is>
          <t>Marzo 2026</t>
        </is>
      </c>
      <c r="B157" s="63" t="n"/>
      <c r="C157" s="63" t="inlineStr">
        <is>
          <t>TikTok</t>
        </is>
      </c>
      <c r="D157" s="63" t="inlineStr">
        <is>
          <t>SQUAD</t>
        </is>
      </c>
      <c r="E157" s="63" t="inlineStr">
        <is>
          <t>VIDEO</t>
        </is>
      </c>
      <c r="F157" s="63" t="inlineStr">
        <is>
          <t>Cami Andrade</t>
        </is>
      </c>
      <c r="G157" s="63" t="inlineStr">
        <is>
          <t>Pantene reparación molecular</t>
        </is>
      </c>
      <c r="H157" s="63" t="str"/>
      <c r="I157" s="63" t="str"/>
      <c r="J157" s="63" t="str"/>
      <c r="K157" s="63" t="n">
        <v>70514</v>
      </c>
      <c r="L157" s="63" t="n">
        <v>64200</v>
      </c>
      <c r="M157" s="63" t="n">
        <v>1983</v>
      </c>
      <c r="N157" s="63" t="n">
        <v>36</v>
      </c>
      <c r="O157" s="63" t="n">
        <v>10</v>
      </c>
      <c r="P157" s="63" t="n">
        <v>7</v>
      </c>
      <c r="Q157" s="63" t="n">
        <v>77</v>
      </c>
      <c r="R157" s="63" t="inlineStr">
        <is>
          <t>N/A</t>
        </is>
      </c>
      <c r="S157" s="63" t="inlineStr">
        <is>
          <t>N/A</t>
        </is>
      </c>
      <c r="T157" s="63" t="n">
        <v>2113</v>
      </c>
      <c r="U157" s="63" t="n">
        <v>3.291277259</v>
      </c>
      <c r="V157" s="63" t="str"/>
      <c r="W157" s="63" t="n">
        <v>0</v>
      </c>
      <c r="X157" s="63" t="str"/>
      <c r="Y157" s="63" t="inlineStr">
        <is>
          <t>Sí</t>
        </is>
      </c>
      <c r="Z157" s="63" t="inlineStr">
        <is>
          <t>No</t>
        </is>
      </c>
      <c r="AA157" s="63" t="inlineStr">
        <is>
          <t>Sí</t>
        </is>
      </c>
      <c r="AB157" s="63" t="inlineStr">
        <is>
          <t>No</t>
        </is>
      </c>
      <c r="AC157" s="63" t="str"/>
      <c r="AD157" s="64" t="str"/>
    </row>
    <row r="158">
      <c r="A158" s="62" t="inlineStr">
        <is>
          <t>Marzo 2026</t>
        </is>
      </c>
      <c r="B158" s="63" t="n"/>
      <c r="C158" s="63" t="inlineStr">
        <is>
          <t>Instagram</t>
        </is>
      </c>
      <c r="D158" s="63" t="inlineStr">
        <is>
          <t>SQUAD</t>
        </is>
      </c>
      <c r="E158" s="63" t="inlineStr">
        <is>
          <t>STORY</t>
        </is>
      </c>
      <c r="F158" s="63" t="inlineStr">
        <is>
          <t>Cami Andrade</t>
        </is>
      </c>
      <c r="G158" s="63" t="inlineStr">
        <is>
          <t>Bridgerton nivea</t>
        </is>
      </c>
      <c r="H158" s="63" t="str"/>
      <c r="I158" s="63" t="str"/>
      <c r="J158" s="63" t="str"/>
      <c r="K158" s="63" t="n">
        <v>33786</v>
      </c>
      <c r="L158" s="63" t="n">
        <v>29577</v>
      </c>
      <c r="M158" s="63" t="n">
        <v>179</v>
      </c>
      <c r="N158" s="63" t="n">
        <v>8</v>
      </c>
      <c r="O158" s="63" t="n">
        <v>10</v>
      </c>
      <c r="P158" s="63" t="inlineStr">
        <is>
          <t>N/A</t>
        </is>
      </c>
      <c r="Q158" s="63" t="inlineStr">
        <is>
          <t>N/A</t>
        </is>
      </c>
      <c r="R158" s="63" t="n">
        <v>44</v>
      </c>
      <c r="S158" s="63" t="inlineStr">
        <is>
          <t>N/A</t>
        </is>
      </c>
      <c r="T158" s="63" t="n">
        <v>241</v>
      </c>
      <c r="U158" s="63" t="n">
        <v>0.8148223282</v>
      </c>
      <c r="V158" s="63" t="str"/>
      <c r="W158" s="63" t="n">
        <v>0</v>
      </c>
      <c r="X158" s="63" t="str"/>
      <c r="Y158" s="63" t="inlineStr">
        <is>
          <t>Sí</t>
        </is>
      </c>
      <c r="Z158" s="63" t="inlineStr">
        <is>
          <t>No</t>
        </is>
      </c>
      <c r="AA158" s="63" t="inlineStr">
        <is>
          <t>Sí</t>
        </is>
      </c>
      <c r="AB158" s="63" t="inlineStr">
        <is>
          <t>No</t>
        </is>
      </c>
      <c r="AC158" s="63" t="str"/>
      <c r="AD158" s="64" t="str"/>
    </row>
    <row r="159">
      <c r="A159" s="62" t="inlineStr">
        <is>
          <t>Marzo 2026</t>
        </is>
      </c>
      <c r="B159" s="63" t="n"/>
      <c r="C159" s="63" t="inlineStr">
        <is>
          <t>Instagram</t>
        </is>
      </c>
      <c r="D159" s="63" t="inlineStr">
        <is>
          <t>SQUAD</t>
        </is>
      </c>
      <c r="E159" s="63" t="inlineStr">
        <is>
          <t>REEL</t>
        </is>
      </c>
      <c r="F159" s="63" t="inlineStr">
        <is>
          <t>maicao y Cami</t>
        </is>
      </c>
      <c r="G159" s="63" t="inlineStr">
        <is>
          <t>Revitalift</t>
        </is>
      </c>
      <c r="H159" s="63" t="str"/>
      <c r="I159" s="63" t="str"/>
      <c r="J159" s="63" t="inlineStr">
        <is>
          <t>Alcance</t>
        </is>
      </c>
      <c r="K159" s="63" t="n">
        <v>707052</v>
      </c>
      <c r="L159" s="63" t="n">
        <v>381728</v>
      </c>
      <c r="M159" s="63" t="n">
        <v>1443</v>
      </c>
      <c r="N159" s="63" t="n">
        <v>48</v>
      </c>
      <c r="O159" s="63" t="n">
        <v>12</v>
      </c>
      <c r="P159" s="63" t="n">
        <v>21</v>
      </c>
      <c r="Q159" s="63" t="n">
        <v>39</v>
      </c>
      <c r="R159" s="63" t="inlineStr">
        <is>
          <t>N/A</t>
        </is>
      </c>
      <c r="S159" s="63" t="inlineStr">
        <is>
          <t>N/A</t>
        </is>
      </c>
      <c r="T159" s="63" t="n">
        <v>1563</v>
      </c>
      <c r="U159" s="63" t="n">
        <v>0.409453852</v>
      </c>
      <c r="V159" s="63" t="inlineStr">
        <is>
          <t>sí</t>
        </is>
      </c>
      <c r="W159" s="63" t="n">
        <v>200000</v>
      </c>
      <c r="X159" s="63" t="n">
        <v>14</v>
      </c>
      <c r="Y159" s="63" t="inlineStr">
        <is>
          <t>Sí</t>
        </is>
      </c>
      <c r="Z159" s="63" t="inlineStr">
        <is>
          <t>No</t>
        </is>
      </c>
      <c r="AA159" s="63" t="inlineStr">
        <is>
          <t>Sí</t>
        </is>
      </c>
      <c r="AB159" s="63" t="inlineStr">
        <is>
          <t>No</t>
        </is>
      </c>
      <c r="AC159" s="63" t="str"/>
      <c r="AD159" s="64" t="str"/>
    </row>
    <row r="160">
      <c r="A160" s="62" t="inlineStr">
        <is>
          <t>Marzo 2026</t>
        </is>
      </c>
      <c r="B160" s="63" t="n"/>
      <c r="C160" s="63" t="inlineStr">
        <is>
          <t>TikTok</t>
        </is>
      </c>
      <c r="D160" s="63" t="inlineStr">
        <is>
          <t>SQUAD</t>
        </is>
      </c>
      <c r="E160" s="63" t="inlineStr">
        <is>
          <t>VIDEO</t>
        </is>
      </c>
      <c r="F160" s="63" t="inlineStr">
        <is>
          <t>Disley</t>
        </is>
      </c>
      <c r="G160" s="63" t="inlineStr">
        <is>
          <t>Elvive Colágeno</t>
        </is>
      </c>
      <c r="H160" s="63" t="str"/>
      <c r="I160" s="63" t="str"/>
      <c r="J160" s="63" t="str"/>
      <c r="K160" s="63" t="n">
        <v>45188</v>
      </c>
      <c r="L160" s="63" t="n">
        <v>38100</v>
      </c>
      <c r="M160" s="63" t="n">
        <v>2759</v>
      </c>
      <c r="N160" s="63" t="n">
        <v>46</v>
      </c>
      <c r="O160" s="63" t="n">
        <v>65</v>
      </c>
      <c r="P160" s="63" t="n">
        <v>9</v>
      </c>
      <c r="Q160" s="63" t="n">
        <v>99</v>
      </c>
      <c r="R160" s="63" t="inlineStr">
        <is>
          <t>N/A</t>
        </is>
      </c>
      <c r="S160" s="63" t="inlineStr">
        <is>
          <t>N/A</t>
        </is>
      </c>
      <c r="T160" s="63" t="n">
        <v>2978</v>
      </c>
      <c r="U160" s="63" t="n">
        <v>7.816272966</v>
      </c>
      <c r="V160" s="63" t="str"/>
      <c r="W160" s="63" t="n">
        <v>0</v>
      </c>
      <c r="X160" s="63" t="str"/>
      <c r="Y160" s="63" t="inlineStr">
        <is>
          <t>Sí</t>
        </is>
      </c>
      <c r="Z160" s="63" t="inlineStr">
        <is>
          <t>No</t>
        </is>
      </c>
      <c r="AA160" s="63" t="inlineStr">
        <is>
          <t>Sí</t>
        </is>
      </c>
      <c r="AB160" s="63" t="inlineStr">
        <is>
          <t>No</t>
        </is>
      </c>
      <c r="AC160" s="63" t="str"/>
      <c r="AD160" s="64" t="str"/>
    </row>
    <row r="161">
      <c r="A161" s="62" t="inlineStr">
        <is>
          <t>Marzo 2026</t>
        </is>
      </c>
      <c r="B161" s="63" t="n"/>
      <c r="C161" s="63" t="inlineStr">
        <is>
          <t>Instagram</t>
        </is>
      </c>
      <c r="D161" s="63" t="inlineStr">
        <is>
          <t>SQUAD</t>
        </is>
      </c>
      <c r="E161" s="63" t="inlineStr">
        <is>
          <t>STORY</t>
        </is>
      </c>
      <c r="F161" s="63" t="inlineStr">
        <is>
          <t>Disley</t>
        </is>
      </c>
      <c r="G161" s="63" t="inlineStr">
        <is>
          <t>Bridgerton</t>
        </is>
      </c>
      <c r="H161" s="63" t="str"/>
      <c r="I161" s="63" t="str"/>
      <c r="J161" s="63" t="str"/>
      <c r="K161" s="63" t="n">
        <v>50477</v>
      </c>
      <c r="L161" s="63" t="n">
        <v>43736</v>
      </c>
      <c r="M161" s="63" t="n">
        <v>449</v>
      </c>
      <c r="N161" s="63" t="n">
        <v>14</v>
      </c>
      <c r="O161" s="63" t="n">
        <v>15</v>
      </c>
      <c r="P161" s="63" t="inlineStr">
        <is>
          <t>N/A</t>
        </is>
      </c>
      <c r="Q161" s="63" t="inlineStr">
        <is>
          <t>N/A</t>
        </is>
      </c>
      <c r="R161" s="63" t="n">
        <v>27</v>
      </c>
      <c r="S161" s="63" t="inlineStr">
        <is>
          <t>N/A</t>
        </is>
      </c>
      <c r="T161" s="63" t="n">
        <v>505</v>
      </c>
      <c r="U161" s="63" t="n">
        <v>1.154655204</v>
      </c>
      <c r="V161" s="63" t="str"/>
      <c r="W161" s="63" t="n">
        <v>0</v>
      </c>
      <c r="X161" s="63" t="str"/>
      <c r="Y161" s="63" t="inlineStr">
        <is>
          <t>Sí</t>
        </is>
      </c>
      <c r="Z161" s="63" t="inlineStr">
        <is>
          <t>No</t>
        </is>
      </c>
      <c r="AA161" s="63" t="inlineStr">
        <is>
          <t>Sí</t>
        </is>
      </c>
      <c r="AB161" s="63" t="inlineStr">
        <is>
          <t>No</t>
        </is>
      </c>
      <c r="AC161" s="63" t="str"/>
      <c r="AD161" s="64" t="str"/>
    </row>
    <row r="162">
      <c r="A162" s="65" t="inlineStr">
        <is>
          <t>Marzo 2026</t>
        </is>
      </c>
      <c r="B162" s="66" t="n"/>
      <c r="C162" s="66" t="inlineStr">
        <is>
          <t>Instagram</t>
        </is>
      </c>
      <c r="D162" s="66" t="inlineStr">
        <is>
          <t>SQUAD</t>
        </is>
      </c>
      <c r="E162" s="66" t="inlineStr">
        <is>
          <t>REEL</t>
        </is>
      </c>
      <c r="F162" s="66" t="inlineStr">
        <is>
          <t>maicao - Samy - Disley</t>
        </is>
      </c>
      <c r="G162" s="66" t="inlineStr">
        <is>
          <t>Especial Festivales (samy MMPP)</t>
        </is>
      </c>
      <c r="H162" s="66" t="str"/>
      <c r="I162" s="66" t="str"/>
      <c r="J162" s="66" t="str"/>
      <c r="K162" s="66" t="n">
        <v>1589997</v>
      </c>
      <c r="L162" s="66" t="n">
        <v>405019</v>
      </c>
      <c r="M162" s="66" t="n">
        <v>6820</v>
      </c>
      <c r="N162" s="66" t="n">
        <v>104</v>
      </c>
      <c r="O162" s="66" t="n">
        <v>24</v>
      </c>
      <c r="P162" s="66" t="n">
        <v>63</v>
      </c>
      <c r="Q162" s="66" t="n">
        <v>252</v>
      </c>
      <c r="R162" s="66" t="inlineStr">
        <is>
          <t>N/A</t>
        </is>
      </c>
      <c r="S162" s="66" t="inlineStr">
        <is>
          <t>N/A</t>
        </is>
      </c>
      <c r="T162" s="66" t="n">
        <v>7263</v>
      </c>
      <c r="U162" s="66" t="n">
        <v>1.793249206</v>
      </c>
      <c r="V162" s="66" t="inlineStr">
        <is>
          <t>No hay registro</t>
        </is>
      </c>
      <c r="W162" s="66" t="n">
        <v>0</v>
      </c>
      <c r="X162" s="66" t="str"/>
      <c r="Y162" s="66" t="inlineStr">
        <is>
          <t>Sí</t>
        </is>
      </c>
      <c r="Z162" s="66" t="inlineStr">
        <is>
          <t>No</t>
        </is>
      </c>
      <c r="AA162" s="66" t="inlineStr">
        <is>
          <t>Sí</t>
        </is>
      </c>
      <c r="AB162" s="66" t="inlineStr">
        <is>
          <t>Sí</t>
        </is>
      </c>
      <c r="AC162" s="66" t="str"/>
      <c r="AD162" s="67" t="str"/>
    </row>
  </sheetData>
  <mergeCells count="2">
    <mergeCell ref="A2:AD2"/>
    <mergeCell ref="A1:AD1"/>
  </mergeCells>
  <dataValidations count="1">
    <dataValidation sqref="Y1:AB1" showDropDown="0" showInputMessage="0" showErrorMessage="0" allowBlank="0" type="list">
      <formula1>"Sí,No"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 ht="28" customHeight="1">
      <c r="A1" s="130" t="inlineStr">
        <is>
          <t>02_Audience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22" customHeight="1">
      <c r="A2" s="131" t="inlineStr">
        <is>
          <t>Seguidores y demografía por plataforma. Alimenta slides de audiencia.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A3" s="132" t="n"/>
    </row>
    <row r="4">
      <c r="A4" s="133" t="inlineStr">
        <is>
          <t>Mes</t>
        </is>
      </c>
      <c r="B4" s="57" t="inlineStr">
        <is>
          <t>Plataforma</t>
        </is>
      </c>
      <c r="C4" s="57" t="inlineStr">
        <is>
          <t>Seguidores</t>
        </is>
      </c>
      <c r="D4" s="57" t="inlineStr">
        <is>
          <t>Seguidores mes anterior</t>
        </is>
      </c>
      <c r="E4" s="57" t="inlineStr">
        <is>
          <t>Crecimiento</t>
        </is>
      </c>
      <c r="F4" s="57" t="inlineStr">
        <is>
          <t>Mujeres %</t>
        </is>
      </c>
      <c r="G4" s="57" t="inlineStr">
        <is>
          <t>Hombres %</t>
        </is>
      </c>
      <c r="H4" s="57" t="inlineStr">
        <is>
          <t>18-24 %</t>
        </is>
      </c>
      <c r="I4" s="57" t="inlineStr">
        <is>
          <t>25-34 %</t>
        </is>
      </c>
      <c r="J4" s="57" t="inlineStr">
        <is>
          <t>35-44 %</t>
        </is>
      </c>
      <c r="K4" s="57" t="inlineStr">
        <is>
          <t>45-54 %</t>
        </is>
      </c>
      <c r="L4" s="57" t="inlineStr">
        <is>
          <t>55+ %</t>
        </is>
      </c>
      <c r="M4" s="57" t="inlineStr">
        <is>
          <t>Ciudad 1</t>
        </is>
      </c>
      <c r="N4" s="57" t="inlineStr">
        <is>
          <t>Ciudad 2</t>
        </is>
      </c>
      <c r="O4" s="58" t="inlineStr">
        <is>
          <t>Notas</t>
        </is>
      </c>
    </row>
    <row r="5">
      <c r="A5" s="134" t="inlineStr">
        <is>
          <t>Marzo 2026</t>
        </is>
      </c>
      <c r="B5" s="63" t="inlineStr">
        <is>
          <t>Instagram</t>
        </is>
      </c>
      <c r="C5" s="63" t="n">
        <v>332382</v>
      </c>
      <c r="D5" s="63" t="n">
        <v>330993</v>
      </c>
      <c r="E5" s="63">
        <f>C5-D5</f>
        <v/>
      </c>
      <c r="F5" s="63" t="n">
        <v>92.3</v>
      </c>
      <c r="G5" s="63" t="n">
        <v>7.7</v>
      </c>
      <c r="H5" s="63" t="n">
        <v>4</v>
      </c>
      <c r="I5" s="63" t="n">
        <v>28</v>
      </c>
      <c r="J5" s="63" t="n">
        <v>35</v>
      </c>
      <c r="K5" s="63" t="n">
        <v>17</v>
      </c>
      <c r="L5" s="63" t="n"/>
      <c r="M5" s="63" t="inlineStr">
        <is>
          <t>Santiago</t>
        </is>
      </c>
      <c r="N5" s="63" t="inlineStr">
        <is>
          <t>Concepción</t>
        </is>
      </c>
      <c r="O5" s="64" t="inlineStr">
        <is>
          <t>Datos de reporte marzo</t>
        </is>
      </c>
    </row>
    <row r="6">
      <c r="A6" s="134" t="inlineStr">
        <is>
          <t>Marzo 2026</t>
        </is>
      </c>
      <c r="B6" s="63" t="inlineStr">
        <is>
          <t>Facebook</t>
        </is>
      </c>
      <c r="C6" s="63" t="n">
        <v>565501</v>
      </c>
      <c r="D6" s="63" t="n">
        <v>565071</v>
      </c>
      <c r="E6" s="63">
        <f>C6-D6</f>
        <v/>
      </c>
      <c r="F6" s="63" t="n">
        <v>97.2</v>
      </c>
      <c r="G6" s="63" t="n">
        <v>2.8</v>
      </c>
      <c r="H6" s="63" t="n">
        <v>2</v>
      </c>
      <c r="I6" s="63" t="n">
        <v>27</v>
      </c>
      <c r="J6" s="63" t="n">
        <v>30</v>
      </c>
      <c r="K6" s="63" t="n">
        <v>21</v>
      </c>
      <c r="L6" s="63" t="n"/>
      <c r="M6" s="63" t="inlineStr">
        <is>
          <t>Santiago</t>
        </is>
      </c>
      <c r="N6" s="63" t="inlineStr">
        <is>
          <t>Viña del Mar</t>
        </is>
      </c>
      <c r="O6" s="64" t="inlineStr">
        <is>
          <t>Datos de reporte marzo</t>
        </is>
      </c>
    </row>
    <row r="7">
      <c r="A7" s="135" t="inlineStr">
        <is>
          <t>Marzo 2026</t>
        </is>
      </c>
      <c r="B7" s="66" t="inlineStr">
        <is>
          <t>TikTok</t>
        </is>
      </c>
      <c r="C7" s="66" t="n">
        <v>30120</v>
      </c>
      <c r="D7" s="66" t="n">
        <v>27352</v>
      </c>
      <c r="E7" s="66">
        <f>C7-D7</f>
        <v/>
      </c>
      <c r="F7" s="66" t="n">
        <v>84</v>
      </c>
      <c r="G7" s="66" t="n">
        <v>16</v>
      </c>
      <c r="H7" s="66" t="n">
        <v>36</v>
      </c>
      <c r="I7" s="66" t="n">
        <v>32</v>
      </c>
      <c r="J7" s="66" t="n">
        <v>13</v>
      </c>
      <c r="K7" s="66" t="n">
        <v>8</v>
      </c>
      <c r="L7" s="66" t="n">
        <v>10</v>
      </c>
      <c r="M7" s="66" t="inlineStr">
        <is>
          <t>Santiago</t>
        </is>
      </c>
      <c r="N7" s="66" t="inlineStr">
        <is>
          <t>Otros</t>
        </is>
      </c>
      <c r="O7" s="67" t="inlineStr">
        <is>
          <t>Datos de reporte marzo</t>
        </is>
      </c>
    </row>
  </sheetData>
  <mergeCells count="2">
    <mergeCell ref="A2:N2"/>
    <mergeCell ref="A1:N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 ht="28" customHeight="1">
      <c r="A1" s="130" t="inlineStr">
        <is>
          <t>03_Paid_Media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 ht="22" customHeight="1">
      <c r="A2" s="131" t="inlineStr">
        <is>
          <t>Inversión separada de contenidos para evitar descuadres entre pauta, Squad y plataformas.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3">
      <c r="A3" s="132" t="n"/>
    </row>
    <row r="4">
      <c r="A4" s="133" t="inlineStr">
        <is>
          <t>Mes</t>
        </is>
      </c>
      <c r="B4" s="57" t="inlineStr">
        <is>
          <t>Plataforma</t>
        </is>
      </c>
      <c r="C4" s="57" t="inlineStr">
        <is>
          <t>Segmento</t>
        </is>
      </c>
      <c r="D4" s="57" t="inlineStr">
        <is>
          <t>Monto</t>
        </is>
      </c>
      <c r="E4" s="57" t="inlineStr">
        <is>
          <t>Fuente</t>
        </is>
      </c>
      <c r="F4" s="57" t="inlineStr">
        <is>
          <t>Objetivo</t>
        </is>
      </c>
      <c r="G4" s="57" t="inlineStr">
        <is>
          <t>Comentario</t>
        </is>
      </c>
      <c r="H4" s="57" t="inlineStr">
        <is>
          <t>Incluir Overview</t>
        </is>
      </c>
      <c r="I4" s="57" t="inlineStr">
        <is>
          <t>Incluir Plataforma</t>
        </is>
      </c>
      <c r="J4" s="58" t="inlineStr">
        <is>
          <t>Validación</t>
        </is>
      </c>
    </row>
    <row r="5">
      <c r="A5" s="134" t="inlineStr">
        <is>
          <t>Marzo 2026</t>
        </is>
      </c>
      <c r="B5" s="63" t="inlineStr">
        <is>
          <t>Instagram</t>
        </is>
      </c>
      <c r="C5" s="63" t="inlineStr">
        <is>
          <t>Plataforma</t>
        </is>
      </c>
      <c r="D5" s="63" t="n">
        <v>850000</v>
      </c>
      <c r="E5" s="63" t="inlineStr">
        <is>
          <t>Reporte/PDF</t>
        </is>
      </c>
      <c r="F5" s="63" t="inlineStr">
        <is>
          <t>Visibilidad</t>
        </is>
      </c>
      <c r="G5" s="63" t="inlineStr">
        <is>
          <t>Valor a confirmar contra pauta final</t>
        </is>
      </c>
      <c r="H5" s="63" t="inlineStr">
        <is>
          <t>Sí</t>
        </is>
      </c>
      <c r="I5" s="63" t="inlineStr">
        <is>
          <t>Sí</t>
        </is>
      </c>
      <c r="J5" s="64" t="inlineStr">
        <is>
          <t>Revisar</t>
        </is>
      </c>
    </row>
    <row r="6">
      <c r="A6" s="134" t="inlineStr">
        <is>
          <t>Marzo 2026</t>
        </is>
      </c>
      <c r="B6" s="63" t="inlineStr">
        <is>
          <t>Facebook</t>
        </is>
      </c>
      <c r="C6" s="63" t="inlineStr">
        <is>
          <t>Plataforma</t>
        </is>
      </c>
      <c r="D6" s="63" t="n">
        <v>1000000</v>
      </c>
      <c r="E6" s="63" t="inlineStr">
        <is>
          <t>Reporte/PDF</t>
        </is>
      </c>
      <c r="F6" s="63" t="inlineStr">
        <is>
          <t>Visibilidad</t>
        </is>
      </c>
      <c r="G6" s="63" t="inlineStr">
        <is>
          <t>Valor reportado en slide Facebook</t>
        </is>
      </c>
      <c r="H6" s="63" t="inlineStr">
        <is>
          <t>Sí</t>
        </is>
      </c>
      <c r="I6" s="63" t="inlineStr">
        <is>
          <t>Sí</t>
        </is>
      </c>
      <c r="J6" s="64" t="inlineStr">
        <is>
          <t>Revisar</t>
        </is>
      </c>
    </row>
    <row r="7">
      <c r="A7" s="134" t="inlineStr">
        <is>
          <t>Marzo 2026</t>
        </is>
      </c>
      <c r="B7" s="63" t="inlineStr">
        <is>
          <t>TikTok</t>
        </is>
      </c>
      <c r="C7" s="63" t="inlineStr">
        <is>
          <t>Plataforma</t>
        </is>
      </c>
      <c r="D7" s="63" t="n">
        <v>1400000</v>
      </c>
      <c r="E7" s="63" t="inlineStr">
        <is>
          <t>Reporte/PDF</t>
        </is>
      </c>
      <c r="F7" s="63" t="inlineStr">
        <is>
          <t>Visibilidad</t>
        </is>
      </c>
      <c r="G7" s="63" t="inlineStr">
        <is>
          <t>Valor reportado en slide TikTok</t>
        </is>
      </c>
      <c r="H7" s="63" t="inlineStr">
        <is>
          <t>Sí</t>
        </is>
      </c>
      <c r="I7" s="63" t="inlineStr">
        <is>
          <t>Sí</t>
        </is>
      </c>
      <c r="J7" s="64" t="inlineStr">
        <is>
          <t>OK</t>
        </is>
      </c>
    </row>
    <row r="8">
      <c r="A8" s="134" t="inlineStr">
        <is>
          <t>Marzo 2026</t>
        </is>
      </c>
      <c r="B8" s="63" t="inlineStr">
        <is>
          <t>Squad</t>
        </is>
      </c>
      <c r="C8" s="63" t="inlineStr">
        <is>
          <t>Influencers</t>
        </is>
      </c>
      <c r="D8" s="63" t="n">
        <v>400000</v>
      </c>
      <c r="E8" s="63" t="inlineStr">
        <is>
          <t>Reporte/PDF</t>
        </is>
      </c>
      <c r="F8" s="63" t="inlineStr">
        <is>
          <t>Alcance + engagement</t>
        </is>
      </c>
      <c r="G8" s="63" t="inlineStr">
        <is>
          <t>Valor reportado en slide Squad</t>
        </is>
      </c>
      <c r="H8" s="63" t="inlineStr">
        <is>
          <t>Sí</t>
        </is>
      </c>
      <c r="I8" s="63" t="inlineStr">
        <is>
          <t>No</t>
        </is>
      </c>
      <c r="J8" s="64" t="inlineStr">
        <is>
          <t>OK</t>
        </is>
      </c>
    </row>
    <row r="9">
      <c r="A9" s="135" t="inlineStr">
        <is>
          <t>Marzo 2026</t>
        </is>
      </c>
      <c r="B9" s="66" t="inlineStr">
        <is>
          <t>Ajuste / Sin asignar</t>
        </is>
      </c>
      <c r="C9" s="66" t="inlineStr">
        <is>
          <t>Control</t>
        </is>
      </c>
      <c r="D9" s="66" t="n">
        <v>150400</v>
      </c>
      <c r="E9" s="66" t="inlineStr">
        <is>
          <t>Diferencia</t>
        </is>
      </c>
      <c r="F9" s="66" t="inlineStr">
        <is>
          <t>Cuadre total</t>
        </is>
      </c>
      <c r="G9" s="66" t="inlineStr">
        <is>
          <t>Diferencia para llegar a $3.800.400; validar origen exacto</t>
        </is>
      </c>
      <c r="H9" s="66" t="inlineStr">
        <is>
          <t>Sí</t>
        </is>
      </c>
      <c r="I9" s="66" t="inlineStr">
        <is>
          <t>No</t>
        </is>
      </c>
      <c r="J9" s="67" t="inlineStr">
        <is>
          <t>Revisar</t>
        </is>
      </c>
    </row>
  </sheetData>
  <mergeCells count="2">
    <mergeCell ref="A1:J1"/>
    <mergeCell ref="A2:J2"/>
  </mergeCells>
  <dataValidations count="2">
    <dataValidation sqref="H1:I1" showDropDown="0" showInputMessage="0" showErrorMessage="0" allowBlank="0" type="list">
      <formula1>"Sí,No"</formula1>
    </dataValidation>
    <dataValidation sqref="J1" showDropDown="0" showInputMessage="0" showErrorMessage="0" allowBlank="0" type="list">
      <formula1>"OK,Revisar"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9.420000076293945" customWidth="1" min="1" max="1"/>
    <col width="12.64999961853027" customWidth="1" min="2" max="2"/>
    <col width="21.94000053405762" customWidth="1" min="3" max="3"/>
    <col width="7" customWidth="1" min="4" max="4"/>
    <col width="6.329999923706055" customWidth="1" min="5" max="5"/>
    <col width="10.77000045776367" customWidth="1" min="6" max="6"/>
    <col width="3.900000095367432" customWidth="1" min="7" max="7"/>
    <col width="5.920000076293945" customWidth="1" min="8" max="8"/>
    <col width="40" customWidth="1" min="9" max="9"/>
    <col width="40" customWidth="1" min="10" max="10"/>
    <col width="8.609999656677246" customWidth="1" min="11" max="11"/>
    <col width="7.539999961853027" customWidth="1" min="12" max="12"/>
    <col width="4.710000038146973" customWidth="1" min="13" max="13"/>
  </cols>
  <sheetData>
    <row r="1" ht="28" customHeight="1">
      <c r="A1" s="130" t="inlineStr">
        <is>
          <t>04_Squad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2" customHeight="1">
      <c r="A2" s="131" t="inlineStr">
        <is>
          <t>Desempeño de creadoras / perfiles. Una fila por talento.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</row>
    <row r="3">
      <c r="A3" s="132" t="n"/>
    </row>
    <row r="4">
      <c r="A4" s="136" t="inlineStr">
        <is>
          <t>Mes</t>
        </is>
      </c>
      <c r="B4" s="79" t="inlineStr">
        <is>
          <t>Talento</t>
        </is>
      </c>
      <c r="C4" s="79" t="inlineStr">
        <is>
          <t>Formatos</t>
        </is>
      </c>
      <c r="D4" s="79" t="inlineStr">
        <is>
          <t>Views</t>
        </is>
      </c>
      <c r="E4" s="79" t="inlineStr">
        <is>
          <t>Alcance</t>
        </is>
      </c>
      <c r="F4" s="79" t="inlineStr">
        <is>
          <t>Interacciones</t>
        </is>
      </c>
      <c r="G4" s="79" t="inlineStr">
        <is>
          <t>ER %</t>
        </is>
      </c>
      <c r="H4" s="79" t="inlineStr">
        <is>
          <t>Monto</t>
        </is>
      </c>
      <c r="I4" s="79" t="inlineStr">
        <is>
          <t>Insight</t>
        </is>
      </c>
      <c r="J4" s="79" t="inlineStr">
        <is>
          <t>Recomendación</t>
        </is>
      </c>
      <c r="K4" s="79" t="inlineStr">
        <is>
          <t>Incluir PPT</t>
        </is>
      </c>
      <c r="L4" s="79" t="inlineStr">
        <is>
          <t>Prioridad</t>
        </is>
      </c>
      <c r="M4" s="80" t="inlineStr">
        <is>
          <t>Notas</t>
        </is>
      </c>
    </row>
    <row r="5">
      <c r="A5" s="134" t="inlineStr">
        <is>
          <t>Marzo 2026</t>
        </is>
      </c>
      <c r="B5" s="63" t="inlineStr">
        <is>
          <t>Skarleth Labra</t>
        </is>
      </c>
      <c r="C5" s="63" t="inlineStr">
        <is>
          <t>1 Reel + 1 Story + 1 TikTok</t>
        </is>
      </c>
      <c r="D5" s="63" t="n">
        <v>2052186</v>
      </c>
      <c r="E5" s="63" t="n">
        <v>997455</v>
      </c>
      <c r="F5" s="63" t="n">
        <v>44792</v>
      </c>
      <c r="G5" s="63" t="n">
        <v>4.5</v>
      </c>
      <c r="H5" s="63" t="n">
        <v>200000</v>
      </c>
      <c r="I5" s="63" t="inlineStr">
        <is>
          <t>Alto ER pese a menor volumen vs febrero; mantiene calidad de interacción.</t>
        </is>
      </c>
      <c r="J5" s="63" t="inlineStr">
        <is>
          <t>Mantener GRWM/carruseles con integración natural de producto.</t>
        </is>
      </c>
      <c r="K5" s="63" t="inlineStr">
        <is>
          <t>Sí</t>
        </is>
      </c>
      <c r="L5" s="63" t="inlineStr">
        <is>
          <t>Alta</t>
        </is>
      </c>
      <c r="M5" s="64" t="str"/>
    </row>
    <row r="6">
      <c r="A6" s="134" t="inlineStr">
        <is>
          <t>Marzo 2026</t>
        </is>
      </c>
      <c r="B6" s="63" t="inlineStr">
        <is>
          <t>Busquilla</t>
        </is>
      </c>
      <c r="C6" s="63" t="inlineStr">
        <is>
          <t>1 TikTok + 1 Reel + 1 Stories</t>
        </is>
      </c>
      <c r="D6" s="63" t="n">
        <v>87875</v>
      </c>
      <c r="E6" s="63" t="n">
        <v>61011</v>
      </c>
      <c r="F6" s="63" t="n">
        <v>691</v>
      </c>
      <c r="G6" s="63" t="n">
        <v>1.1</v>
      </c>
      <c r="H6" s="63" t="n">
        <v>0</v>
      </c>
      <c r="I6" s="63" t="inlineStr">
        <is>
          <t>Contenido orientado a ofertas generó clicks, pero menor escala por pauta/contenidos.</t>
        </is>
      </c>
      <c r="J6" s="63" t="inlineStr">
        <is>
          <t>Reforzar stories con navegación web orgánica.</t>
        </is>
      </c>
      <c r="K6" s="63" t="inlineStr">
        <is>
          <t>Sí</t>
        </is>
      </c>
      <c r="L6" s="63" t="inlineStr">
        <is>
          <t>Media</t>
        </is>
      </c>
      <c r="M6" s="64" t="str"/>
    </row>
    <row r="7">
      <c r="A7" s="134" t="inlineStr">
        <is>
          <t>Marzo 2026</t>
        </is>
      </c>
      <c r="B7" s="63" t="inlineStr">
        <is>
          <t>Camila Andrade</t>
        </is>
      </c>
      <c r="C7" s="63" t="inlineStr">
        <is>
          <t>1 Reel + 3 Stories</t>
        </is>
      </c>
      <c r="D7" s="63" t="n">
        <v>811352</v>
      </c>
      <c r="E7" s="63" t="n">
        <v>475505</v>
      </c>
      <c r="F7" s="63" t="n">
        <v>3917</v>
      </c>
      <c r="G7" s="63" t="n">
        <v>0.8</v>
      </c>
      <c r="H7" s="63" t="n">
        <v>200000</v>
      </c>
      <c r="I7" s="63" t="inlineStr">
        <is>
          <t>Desempeño eficiente; TikTok más acotado por integración menos natural del texto/producto.</t>
        </is>
      </c>
      <c r="J7" s="63" t="inlineStr">
        <is>
          <t>Optimizar integración nativa de productos en video.</t>
        </is>
      </c>
      <c r="K7" s="63" t="inlineStr">
        <is>
          <t>Sí</t>
        </is>
      </c>
      <c r="L7" s="63" t="inlineStr">
        <is>
          <t>Media</t>
        </is>
      </c>
      <c r="M7" s="64" t="str"/>
    </row>
    <row r="8">
      <c r="A8" s="135" t="inlineStr">
        <is>
          <t>Marzo 2026</t>
        </is>
      </c>
      <c r="B8" s="66" t="inlineStr">
        <is>
          <t>Disley Ramos</t>
        </is>
      </c>
      <c r="C8" s="66" t="inlineStr">
        <is>
          <t>1 Reel + 1 TikTok + Story</t>
        </is>
      </c>
      <c r="D8" s="66" t="n">
        <v>1685662</v>
      </c>
      <c r="E8" s="66" t="n">
        <v>486855</v>
      </c>
      <c r="F8" s="66" t="n">
        <v>10746</v>
      </c>
      <c r="G8" s="66" t="n">
        <v>2.2</v>
      </c>
      <c r="H8" s="66" t="n">
        <v>0</v>
      </c>
      <c r="I8" s="66" t="inlineStr">
        <is>
          <t>Nuevo rostro aporta volumen y cercanía desde humor/contenido íntimo.</t>
        </is>
      </c>
      <c r="J8" s="66" t="inlineStr">
        <is>
          <t>Mantener perfiles culturales con lenguaje propio.</t>
        </is>
      </c>
      <c r="K8" s="66" t="inlineStr">
        <is>
          <t>Sí</t>
        </is>
      </c>
      <c r="L8" s="66" t="inlineStr">
        <is>
          <t>Alta</t>
        </is>
      </c>
      <c r="M8" s="67" t="str"/>
    </row>
  </sheetData>
  <mergeCells count="2">
    <mergeCell ref="A2:M2"/>
    <mergeCell ref="A1:M1"/>
  </mergeCells>
  <dataValidations count="2">
    <dataValidation sqref="K1" showDropDown="0" showInputMessage="0" showErrorMessage="0" allowBlank="0" type="list">
      <formula1>"Sí,No"</formula1>
    </dataValidation>
    <dataValidation sqref="L1" showDropDown="0" showInputMessage="0" showErrorMessage="0" allowBlank="0" type="list">
      <formula1>"Alta,Media,Baja"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9.420000076293945" customWidth="1" min="1" max="1"/>
    <col width="27.45999908447266" customWidth="1" min="2" max="2"/>
    <col width="9.149999618530273" customWidth="1" min="3" max="3"/>
    <col width="7" customWidth="1" min="4" max="4"/>
    <col width="7" customWidth="1" min="5" max="5"/>
    <col width="10.77000045776367" customWidth="1" min="6" max="6"/>
    <col width="3.900000095367432" customWidth="1" min="7" max="7"/>
    <col width="43.61000061035156" customWidth="1" min="8" max="8"/>
    <col width="55" customWidth="1" min="9" max="9"/>
    <col width="9.689999580383301" customWidth="1" min="10" max="10"/>
  </cols>
  <sheetData>
    <row r="1" ht="28" customHeight="1">
      <c r="A1" s="130" t="inlineStr">
        <is>
          <t>05_MMPP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 ht="22" customHeight="1">
      <c r="A2" s="131" t="inlineStr">
        <is>
          <t>Segmento marcas propias/campañas especiales. Consolidado para slide propia.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3">
      <c r="A3" s="132" t="n"/>
    </row>
    <row r="4">
      <c r="A4" s="133" t="inlineStr">
        <is>
          <t>Mes</t>
        </is>
      </c>
      <c r="B4" s="57" t="inlineStr">
        <is>
          <t>Campaña/Segmento</t>
        </is>
      </c>
      <c r="C4" s="57" t="inlineStr">
        <is>
          <t>Contenidos</t>
        </is>
      </c>
      <c r="D4" s="57" t="inlineStr">
        <is>
          <t>Views</t>
        </is>
      </c>
      <c r="E4" s="57" t="inlineStr">
        <is>
          <t>Alcance</t>
        </is>
      </c>
      <c r="F4" s="57" t="inlineStr">
        <is>
          <t>Interacciones</t>
        </is>
      </c>
      <c r="G4" s="57" t="inlineStr">
        <is>
          <t>ER %</t>
        </is>
      </c>
      <c r="H4" s="57" t="inlineStr">
        <is>
          <t>Marcas</t>
        </is>
      </c>
      <c r="I4" s="57" t="inlineStr">
        <is>
          <t>Comentario general</t>
        </is>
      </c>
      <c r="J4" s="58" t="inlineStr">
        <is>
          <t>Usar en PPT</t>
        </is>
      </c>
    </row>
    <row r="5">
      <c r="A5" s="135" t="inlineStr">
        <is>
          <t>Marzo 2026</t>
        </is>
      </c>
      <c r="B5" s="66" t="inlineStr">
        <is>
          <t>MMPP / SAMY + marcas asociadas</t>
        </is>
      </c>
      <c r="C5" s="66" t="n">
        <v>14</v>
      </c>
      <c r="D5" s="66" t="n">
        <v>3336786</v>
      </c>
      <c r="E5" s="66" t="n">
        <v>1443025</v>
      </c>
      <c r="F5" s="66" t="n">
        <v>13463</v>
      </c>
      <c r="G5" s="66" t="n">
        <v>1</v>
      </c>
      <c r="H5" s="66" t="inlineStr">
        <is>
          <t>SAMY, The Pure Solutions, face facts Wave, Beauty 100</t>
        </is>
      </c>
      <c r="I5" s="66" t="inlineStr">
        <is>
          <t>Buen recibimiento cualitativo; comentarios positivos sobre productos, calidad y precios.</t>
        </is>
      </c>
      <c r="J5" s="67" t="inlineStr">
        <is>
          <t>Sí</t>
        </is>
      </c>
    </row>
  </sheetData>
  <mergeCells count="2">
    <mergeCell ref="A1:J1"/>
    <mergeCell ref="A2:J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9.420000076293945" customWidth="1" min="1" max="1"/>
    <col width="9.020000457763672" customWidth="1" min="2" max="2"/>
    <col width="9.289999961853027" customWidth="1" min="3" max="3"/>
    <col width="8.880000114440918" customWidth="1" min="4" max="4"/>
    <col width="10.77000045776367" customWidth="1" min="5" max="5"/>
    <col width="24.22999954223633" customWidth="1" min="6" max="6"/>
    <col width="54.77999877929688" customWidth="1" min="7" max="7"/>
    <col width="12.10999965667725" customWidth="1" min="8" max="8"/>
    <col width="7.539999961853027" customWidth="1" min="9" max="9"/>
    <col width="40.77999877929688" customWidth="1" min="10" max="10"/>
  </cols>
  <sheetData>
    <row r="1" ht="28" customHeight="1">
      <c r="A1" s="130" t="inlineStr">
        <is>
          <t>06_Competencia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 ht="22" customHeight="1">
      <c r="A2" s="131" t="inlineStr">
        <is>
          <t>Benchmark en formato largo. Una fila por marca + plataforma + mes.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3">
      <c r="A3" s="132" t="n"/>
    </row>
    <row r="4">
      <c r="A4" s="133" t="inlineStr">
        <is>
          <t>Mes</t>
        </is>
      </c>
      <c r="B4" s="57" t="inlineStr">
        <is>
          <t>Plataforma</t>
        </is>
      </c>
      <c r="C4" s="57" t="inlineStr">
        <is>
          <t>Marca</t>
        </is>
      </c>
      <c r="D4" s="57" t="inlineStr">
        <is>
          <t>Seguidores</t>
        </is>
      </c>
      <c r="E4" s="57" t="inlineStr">
        <is>
          <t>Interacciones</t>
        </is>
      </c>
      <c r="F4" s="57" t="inlineStr">
        <is>
          <t>Fuente</t>
        </is>
      </c>
      <c r="G4" s="57" t="inlineStr">
        <is>
          <t>Observación</t>
        </is>
      </c>
      <c r="H4" s="57" t="inlineStr">
        <is>
          <t>Usar en gráfico</t>
        </is>
      </c>
      <c r="I4" s="57" t="inlineStr">
        <is>
          <t>Prioridad</t>
        </is>
      </c>
      <c r="J4" s="58" t="inlineStr">
        <is>
          <t>Notas</t>
        </is>
      </c>
    </row>
    <row r="5">
      <c r="A5" s="134" t="inlineStr">
        <is>
          <t>Marzo 2026</t>
        </is>
      </c>
      <c r="B5" s="63" t="inlineStr">
        <is>
          <t>Instagram</t>
        </is>
      </c>
      <c r="C5" s="63" t="inlineStr">
        <is>
          <t>Maicao</t>
        </is>
      </c>
      <c r="D5" s="63" t="str"/>
      <c r="E5" s="63" t="str"/>
      <c r="F5" s="63" t="inlineStr">
        <is>
          <t>Carga manual / social listening</t>
        </is>
      </c>
      <c r="G5" s="63" t="inlineStr">
        <is>
          <t>Posición intermedia; DBS domina estética/plataforma según reporte.</t>
        </is>
      </c>
      <c r="H5" s="63" t="inlineStr">
        <is>
          <t>Sí</t>
        </is>
      </c>
      <c r="I5" s="63" t="inlineStr">
        <is>
          <t>Media</t>
        </is>
      </c>
      <c r="J5" s="64" t="inlineStr">
        <is>
          <t>Pendiente cargar valores exactos desde benchmark</t>
        </is>
      </c>
    </row>
    <row r="6">
      <c r="A6" s="134" t="inlineStr">
        <is>
          <t>Marzo 2026</t>
        </is>
      </c>
      <c r="B6" s="63" t="inlineStr">
        <is>
          <t>Instagram</t>
        </is>
      </c>
      <c r="C6" s="63" t="inlineStr">
        <is>
          <t>Preunic</t>
        </is>
      </c>
      <c r="D6" s="63" t="str"/>
      <c r="E6" s="63" t="str"/>
      <c r="F6" s="63" t="inlineStr">
        <is>
          <t>Carga manual / social listening</t>
        </is>
      </c>
      <c r="G6" s="63" t="str"/>
      <c r="H6" s="63" t="inlineStr">
        <is>
          <t>Sí</t>
        </is>
      </c>
      <c r="I6" s="63" t="inlineStr">
        <is>
          <t>Media</t>
        </is>
      </c>
      <c r="J6" s="64" t="inlineStr">
        <is>
          <t>Pendiente cargar valores exactos desde benchmark</t>
        </is>
      </c>
    </row>
    <row r="7">
      <c r="A7" s="134" t="inlineStr">
        <is>
          <t>Marzo 2026</t>
        </is>
      </c>
      <c r="B7" s="63" t="inlineStr">
        <is>
          <t>Instagram</t>
        </is>
      </c>
      <c r="C7" s="63" t="inlineStr">
        <is>
          <t>Dr. Simi</t>
        </is>
      </c>
      <c r="D7" s="63" t="str"/>
      <c r="E7" s="63" t="str"/>
      <c r="F7" s="63" t="inlineStr">
        <is>
          <t>Carga manual / social listening</t>
        </is>
      </c>
      <c r="G7" s="63" t="str"/>
      <c r="H7" s="63" t="inlineStr">
        <is>
          <t>Sí</t>
        </is>
      </c>
      <c r="I7" s="63" t="inlineStr">
        <is>
          <t>Media</t>
        </is>
      </c>
      <c r="J7" s="64" t="inlineStr">
        <is>
          <t>Pendiente cargar valores exactos desde benchmark</t>
        </is>
      </c>
    </row>
    <row r="8">
      <c r="A8" s="134" t="inlineStr">
        <is>
          <t>Marzo 2026</t>
        </is>
      </c>
      <c r="B8" s="63" t="inlineStr">
        <is>
          <t>Instagram</t>
        </is>
      </c>
      <c r="C8" s="63" t="inlineStr">
        <is>
          <t>DBS</t>
        </is>
      </c>
      <c r="D8" s="63" t="str"/>
      <c r="E8" s="63" t="str"/>
      <c r="F8" s="63" t="inlineStr">
        <is>
          <t>Carga manual / social listening</t>
        </is>
      </c>
      <c r="G8" s="63" t="str"/>
      <c r="H8" s="63" t="inlineStr">
        <is>
          <t>Sí</t>
        </is>
      </c>
      <c r="I8" s="63" t="inlineStr">
        <is>
          <t>Media</t>
        </is>
      </c>
      <c r="J8" s="64" t="inlineStr">
        <is>
          <t>Pendiente cargar valores exactos desde benchmark</t>
        </is>
      </c>
    </row>
    <row r="9">
      <c r="A9" s="134" t="inlineStr">
        <is>
          <t>Marzo 2026</t>
        </is>
      </c>
      <c r="B9" s="63" t="inlineStr">
        <is>
          <t>Instagram</t>
        </is>
      </c>
      <c r="C9" s="63" t="inlineStr">
        <is>
          <t>Blush-Bar</t>
        </is>
      </c>
      <c r="D9" s="63" t="str"/>
      <c r="E9" s="63" t="str"/>
      <c r="F9" s="63" t="inlineStr">
        <is>
          <t>Carga manual / social listening</t>
        </is>
      </c>
      <c r="G9" s="63" t="str"/>
      <c r="H9" s="63" t="inlineStr">
        <is>
          <t>Sí</t>
        </is>
      </c>
      <c r="I9" s="63" t="inlineStr">
        <is>
          <t>Media</t>
        </is>
      </c>
      <c r="J9" s="64" t="inlineStr">
        <is>
          <t>Pendiente cargar valores exactos desde benchmark</t>
        </is>
      </c>
    </row>
    <row r="10">
      <c r="A10" s="134" t="inlineStr">
        <is>
          <t>Marzo 2026</t>
        </is>
      </c>
      <c r="B10" s="63" t="inlineStr">
        <is>
          <t>Instagram</t>
        </is>
      </c>
      <c r="C10" s="63" t="inlineStr">
        <is>
          <t>Beauty Plus</t>
        </is>
      </c>
      <c r="D10" s="63" t="str"/>
      <c r="E10" s="63" t="str"/>
      <c r="F10" s="63" t="inlineStr">
        <is>
          <t>Carga manual / social listening</t>
        </is>
      </c>
      <c r="G10" s="63" t="str"/>
      <c r="H10" s="63" t="inlineStr">
        <is>
          <t>Sí</t>
        </is>
      </c>
      <c r="I10" s="63" t="inlineStr">
        <is>
          <t>Media</t>
        </is>
      </c>
      <c r="J10" s="64" t="inlineStr">
        <is>
          <t>Pendiente cargar valores exactos desde benchmark</t>
        </is>
      </c>
    </row>
    <row r="11">
      <c r="A11" s="134" t="inlineStr">
        <is>
          <t>Marzo 2026</t>
        </is>
      </c>
      <c r="B11" s="63" t="inlineStr">
        <is>
          <t>Facebook</t>
        </is>
      </c>
      <c r="C11" s="63" t="inlineStr">
        <is>
          <t>Maicao</t>
        </is>
      </c>
      <c r="D11" s="63" t="str"/>
      <c r="E11" s="63" t="str"/>
      <c r="F11" s="63" t="inlineStr">
        <is>
          <t>Carga manual / social listening</t>
        </is>
      </c>
      <c r="G11" s="63" t="inlineStr">
        <is>
          <t>Maicao lidera en Facebook según reporte.</t>
        </is>
      </c>
      <c r="H11" s="63" t="inlineStr">
        <is>
          <t>Sí</t>
        </is>
      </c>
      <c r="I11" s="63" t="inlineStr">
        <is>
          <t>Media</t>
        </is>
      </c>
      <c r="J11" s="64" t="inlineStr">
        <is>
          <t>Pendiente cargar valores exactos desde benchmark</t>
        </is>
      </c>
    </row>
    <row r="12">
      <c r="A12" s="134" t="inlineStr">
        <is>
          <t>Marzo 2026</t>
        </is>
      </c>
      <c r="B12" s="63" t="inlineStr">
        <is>
          <t>Facebook</t>
        </is>
      </c>
      <c r="C12" s="63" t="inlineStr">
        <is>
          <t>Preunic</t>
        </is>
      </c>
      <c r="D12" s="63" t="str"/>
      <c r="E12" s="63" t="str"/>
      <c r="F12" s="63" t="inlineStr">
        <is>
          <t>Carga manual / social listening</t>
        </is>
      </c>
      <c r="G12" s="63" t="str"/>
      <c r="H12" s="63" t="inlineStr">
        <is>
          <t>Sí</t>
        </is>
      </c>
      <c r="I12" s="63" t="inlineStr">
        <is>
          <t>Media</t>
        </is>
      </c>
      <c r="J12" s="64" t="inlineStr">
        <is>
          <t>Pendiente cargar valores exactos desde benchmark</t>
        </is>
      </c>
    </row>
    <row r="13">
      <c r="A13" s="134" t="inlineStr">
        <is>
          <t>Marzo 2026</t>
        </is>
      </c>
      <c r="B13" s="63" t="inlineStr">
        <is>
          <t>Facebook</t>
        </is>
      </c>
      <c r="C13" s="63" t="inlineStr">
        <is>
          <t>Dr. Simi</t>
        </is>
      </c>
      <c r="D13" s="63" t="str"/>
      <c r="E13" s="63" t="str"/>
      <c r="F13" s="63" t="inlineStr">
        <is>
          <t>Carga manual / social listening</t>
        </is>
      </c>
      <c r="G13" s="63" t="str"/>
      <c r="H13" s="63" t="inlineStr">
        <is>
          <t>Sí</t>
        </is>
      </c>
      <c r="I13" s="63" t="inlineStr">
        <is>
          <t>Media</t>
        </is>
      </c>
      <c r="J13" s="64" t="inlineStr">
        <is>
          <t>Pendiente cargar valores exactos desde benchmark</t>
        </is>
      </c>
    </row>
    <row r="14">
      <c r="A14" s="134" t="inlineStr">
        <is>
          <t>Marzo 2026</t>
        </is>
      </c>
      <c r="B14" s="63" t="inlineStr">
        <is>
          <t>Facebook</t>
        </is>
      </c>
      <c r="C14" s="63" t="inlineStr">
        <is>
          <t>DBS</t>
        </is>
      </c>
      <c r="D14" s="63" t="str"/>
      <c r="E14" s="63" t="str"/>
      <c r="F14" s="63" t="inlineStr">
        <is>
          <t>Carga manual / social listening</t>
        </is>
      </c>
      <c r="G14" s="63" t="str"/>
      <c r="H14" s="63" t="inlineStr">
        <is>
          <t>Sí</t>
        </is>
      </c>
      <c r="I14" s="63" t="inlineStr">
        <is>
          <t>Media</t>
        </is>
      </c>
      <c r="J14" s="64" t="inlineStr">
        <is>
          <t>Pendiente cargar valores exactos desde benchmark</t>
        </is>
      </c>
    </row>
    <row r="15">
      <c r="A15" s="134" t="inlineStr">
        <is>
          <t>Marzo 2026</t>
        </is>
      </c>
      <c r="B15" s="63" t="inlineStr">
        <is>
          <t>Facebook</t>
        </is>
      </c>
      <c r="C15" s="63" t="inlineStr">
        <is>
          <t>Blush-Bar</t>
        </is>
      </c>
      <c r="D15" s="63" t="str"/>
      <c r="E15" s="63" t="str"/>
      <c r="F15" s="63" t="inlineStr">
        <is>
          <t>Carga manual / social listening</t>
        </is>
      </c>
      <c r="G15" s="63" t="str"/>
      <c r="H15" s="63" t="inlineStr">
        <is>
          <t>Sí</t>
        </is>
      </c>
      <c r="I15" s="63" t="inlineStr">
        <is>
          <t>Media</t>
        </is>
      </c>
      <c r="J15" s="64" t="inlineStr">
        <is>
          <t>Pendiente cargar valores exactos desde benchmark</t>
        </is>
      </c>
    </row>
    <row r="16">
      <c r="A16" s="134" t="inlineStr">
        <is>
          <t>Marzo 2026</t>
        </is>
      </c>
      <c r="B16" s="63" t="inlineStr">
        <is>
          <t>Facebook</t>
        </is>
      </c>
      <c r="C16" s="63" t="inlineStr">
        <is>
          <t>Beauty Plus</t>
        </is>
      </c>
      <c r="D16" s="63" t="str"/>
      <c r="E16" s="63" t="str"/>
      <c r="F16" s="63" t="inlineStr">
        <is>
          <t>Carga manual / social listening</t>
        </is>
      </c>
      <c r="G16" s="63" t="str"/>
      <c r="H16" s="63" t="inlineStr">
        <is>
          <t>Sí</t>
        </is>
      </c>
      <c r="I16" s="63" t="inlineStr">
        <is>
          <t>Media</t>
        </is>
      </c>
      <c r="J16" s="64" t="inlineStr">
        <is>
          <t>Pendiente cargar valores exactos desde benchmark</t>
        </is>
      </c>
    </row>
    <row r="17">
      <c r="A17" s="134" t="inlineStr">
        <is>
          <t>Marzo 2026</t>
        </is>
      </c>
      <c r="B17" s="63" t="inlineStr">
        <is>
          <t>TikTok</t>
        </is>
      </c>
      <c r="C17" s="63" t="inlineStr">
        <is>
          <t>Maicao</t>
        </is>
      </c>
      <c r="D17" s="63" t="str"/>
      <c r="E17" s="63" t="str"/>
      <c r="F17" s="63" t="inlineStr">
        <is>
          <t>Carga manual / social listening</t>
        </is>
      </c>
      <c r="G17" s="63" t="inlineStr">
        <is>
          <t>Mayor espacio de expansión y posicionamiento.</t>
        </is>
      </c>
      <c r="H17" s="63" t="inlineStr">
        <is>
          <t>Sí</t>
        </is>
      </c>
      <c r="I17" s="63" t="inlineStr">
        <is>
          <t>Media</t>
        </is>
      </c>
      <c r="J17" s="64" t="inlineStr">
        <is>
          <t>Pendiente cargar valores exactos desde benchmark</t>
        </is>
      </c>
    </row>
    <row r="18">
      <c r="A18" s="134" t="inlineStr">
        <is>
          <t>Marzo 2026</t>
        </is>
      </c>
      <c r="B18" s="63" t="inlineStr">
        <is>
          <t>TikTok</t>
        </is>
      </c>
      <c r="C18" s="63" t="inlineStr">
        <is>
          <t>Preunic</t>
        </is>
      </c>
      <c r="D18" s="63" t="str"/>
      <c r="E18" s="63" t="str"/>
      <c r="F18" s="63" t="inlineStr">
        <is>
          <t>Carga manual / social listening</t>
        </is>
      </c>
      <c r="G18" s="63" t="str"/>
      <c r="H18" s="63" t="inlineStr">
        <is>
          <t>Sí</t>
        </is>
      </c>
      <c r="I18" s="63" t="inlineStr">
        <is>
          <t>Media</t>
        </is>
      </c>
      <c r="J18" s="64" t="inlineStr">
        <is>
          <t>Pendiente cargar valores exactos desde benchmark</t>
        </is>
      </c>
    </row>
    <row r="19">
      <c r="A19" s="134" t="inlineStr">
        <is>
          <t>Marzo 2026</t>
        </is>
      </c>
      <c r="B19" s="63" t="inlineStr">
        <is>
          <t>TikTok</t>
        </is>
      </c>
      <c r="C19" s="63" t="inlineStr">
        <is>
          <t>Dr. Simi</t>
        </is>
      </c>
      <c r="D19" s="63" t="str"/>
      <c r="E19" s="63" t="str"/>
      <c r="F19" s="63" t="inlineStr">
        <is>
          <t>Carga manual / social listening</t>
        </is>
      </c>
      <c r="G19" s="63" t="str"/>
      <c r="H19" s="63" t="inlineStr">
        <is>
          <t>Sí</t>
        </is>
      </c>
      <c r="I19" s="63" t="inlineStr">
        <is>
          <t>Media</t>
        </is>
      </c>
      <c r="J19" s="64" t="inlineStr">
        <is>
          <t>Pendiente cargar valores exactos desde benchmark</t>
        </is>
      </c>
    </row>
    <row r="20">
      <c r="A20" s="134" t="inlineStr">
        <is>
          <t>Marzo 2026</t>
        </is>
      </c>
      <c r="B20" s="63" t="inlineStr">
        <is>
          <t>TikTok</t>
        </is>
      </c>
      <c r="C20" s="63" t="inlineStr">
        <is>
          <t>DBS</t>
        </is>
      </c>
      <c r="D20" s="63" t="str"/>
      <c r="E20" s="63" t="str"/>
      <c r="F20" s="63" t="inlineStr">
        <is>
          <t>Carga manual / social listening</t>
        </is>
      </c>
      <c r="G20" s="63" t="str"/>
      <c r="H20" s="63" t="inlineStr">
        <is>
          <t>Sí</t>
        </is>
      </c>
      <c r="I20" s="63" t="inlineStr">
        <is>
          <t>Media</t>
        </is>
      </c>
      <c r="J20" s="64" t="inlineStr">
        <is>
          <t>Pendiente cargar valores exactos desde benchmark</t>
        </is>
      </c>
    </row>
    <row r="21">
      <c r="A21" s="134" t="inlineStr">
        <is>
          <t>Marzo 2026</t>
        </is>
      </c>
      <c r="B21" s="63" t="inlineStr">
        <is>
          <t>TikTok</t>
        </is>
      </c>
      <c r="C21" s="63" t="inlineStr">
        <is>
          <t>Blush-Bar</t>
        </is>
      </c>
      <c r="D21" s="63" t="str"/>
      <c r="E21" s="63" t="str"/>
      <c r="F21" s="63" t="inlineStr">
        <is>
          <t>Carga manual / social listening</t>
        </is>
      </c>
      <c r="G21" s="63" t="str"/>
      <c r="H21" s="63" t="inlineStr">
        <is>
          <t>Sí</t>
        </is>
      </c>
      <c r="I21" s="63" t="inlineStr">
        <is>
          <t>Media</t>
        </is>
      </c>
      <c r="J21" s="64" t="inlineStr">
        <is>
          <t>Pendiente cargar valores exactos desde benchmark</t>
        </is>
      </c>
    </row>
    <row r="22">
      <c r="A22" s="135" t="inlineStr">
        <is>
          <t>Marzo 2026</t>
        </is>
      </c>
      <c r="B22" s="66" t="inlineStr">
        <is>
          <t>TikTok</t>
        </is>
      </c>
      <c r="C22" s="66" t="inlineStr">
        <is>
          <t>Beauty Plus</t>
        </is>
      </c>
      <c r="D22" s="66" t="str"/>
      <c r="E22" s="66" t="str"/>
      <c r="F22" s="66" t="inlineStr">
        <is>
          <t>Carga manual / social listening</t>
        </is>
      </c>
      <c r="G22" s="66" t="str"/>
      <c r="H22" s="66" t="inlineStr">
        <is>
          <t>Sí</t>
        </is>
      </c>
      <c r="I22" s="66" t="inlineStr">
        <is>
          <t>Media</t>
        </is>
      </c>
      <c r="J22" s="67" t="inlineStr">
        <is>
          <t>Pendiente cargar valores exactos desde benchmark</t>
        </is>
      </c>
    </row>
  </sheetData>
  <mergeCells count="2">
    <mergeCell ref="A1:J1"/>
    <mergeCell ref="A2:J2"/>
  </mergeCells>
  <dataValidations count="2">
    <dataValidation sqref="H1" showDropDown="0" showInputMessage="0" showErrorMessage="0" allowBlank="0" type="list">
      <formula1>"Sí,No"</formula1>
    </dataValidation>
    <dataValidation sqref="I1" showDropDown="0" showInputMessage="0" showErrorMessage="0" allowBlank="0" type="list">
      <formula1>"Alta,Media,Baja"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9.420000076293945" customWidth="1" min="1" max="1"/>
    <col width="10.5" customWidth="1" min="2" max="2"/>
    <col width="10.22999954223633" customWidth="1" min="3" max="3"/>
    <col width="42" customWidth="1" min="4" max="4"/>
    <col width="42" customWidth="1" min="5" max="5"/>
    <col width="42" customWidth="1" min="6" max="6"/>
    <col width="42" customWidth="1" min="7" max="7"/>
    <col width="7.539999961853027" customWidth="1" min="8" max="8"/>
    <col width="9.689999580383301" customWidth="1" min="9" max="9"/>
    <col width="15.06999969482422" customWidth="1" min="10" max="10"/>
    <col width="7.809999942779541" customWidth="1" min="11" max="11"/>
  </cols>
  <sheetData>
    <row r="1" ht="28" customHeight="1">
      <c r="A1" s="130" t="inlineStr">
        <is>
          <t>07_Insights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 ht="22" customHeight="1">
      <c r="A2" s="131" t="inlineStr">
        <is>
          <t>Narrativa cualitativa estructurada: hallazgo + evidencia + implicancia + recomendación.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3">
      <c r="A3" s="132" t="n"/>
    </row>
    <row r="4">
      <c r="A4" s="136" t="inlineStr">
        <is>
          <t>Mes</t>
        </is>
      </c>
      <c r="B4" s="79" t="inlineStr">
        <is>
          <t>Sección</t>
        </is>
      </c>
      <c r="C4" s="79" t="inlineStr">
        <is>
          <t>Tipo</t>
        </is>
      </c>
      <c r="D4" s="79" t="inlineStr">
        <is>
          <t>Hallazgo</t>
        </is>
      </c>
      <c r="E4" s="79" t="inlineStr">
        <is>
          <t>Evidencia</t>
        </is>
      </c>
      <c r="F4" s="79" t="inlineStr">
        <is>
          <t>Implicancia</t>
        </is>
      </c>
      <c r="G4" s="79" t="inlineStr">
        <is>
          <t>Recomendación</t>
        </is>
      </c>
      <c r="H4" s="79" t="inlineStr">
        <is>
          <t>Prioridad</t>
        </is>
      </c>
      <c r="I4" s="79" t="inlineStr">
        <is>
          <t>Usar en PPT</t>
        </is>
      </c>
      <c r="J4" s="79" t="inlineStr">
        <is>
          <t>Slide sugerida</t>
        </is>
      </c>
      <c r="K4" s="80" t="inlineStr">
        <is>
          <t>Estado</t>
        </is>
      </c>
    </row>
    <row r="5">
      <c r="A5" s="134" t="inlineStr">
        <is>
          <t>Marzo 2026</t>
        </is>
      </c>
      <c r="B5" s="63" t="inlineStr">
        <is>
          <t>Overview</t>
        </is>
      </c>
      <c r="C5" s="63" t="inlineStr">
        <is>
          <t>Performance</t>
        </is>
      </c>
      <c r="D5" s="63" t="inlineStr">
        <is>
          <t>La visibilidad creció, pero el engagement se diluyó.</t>
        </is>
      </c>
      <c r="E5" s="63" t="inlineStr">
        <is>
          <t>Views +24.5% vs febrero; ER cae de 2.9% a 1.3%.</t>
        </is>
      </c>
      <c r="F5" s="63" t="inlineStr">
        <is>
          <t>La inversión y el mix ampliaron audiencia, pero con menor profundidad de interacción.</t>
        </is>
      </c>
      <c r="G5" s="63" t="inlineStr">
        <is>
          <t>Optimizar hooks de 3 segundos y CTAs para retener e incentivar acción.</t>
        </is>
      </c>
      <c r="H5" s="63" t="inlineStr">
        <is>
          <t>Alta</t>
        </is>
      </c>
      <c r="I5" s="63" t="inlineStr">
        <is>
          <t>Sí</t>
        </is>
      </c>
      <c r="J5" s="63" t="inlineStr">
        <is>
          <t>Resumen ejecutivo</t>
        </is>
      </c>
      <c r="K5" s="64" t="inlineStr">
        <is>
          <t>Aprobado</t>
        </is>
      </c>
    </row>
    <row r="6">
      <c r="A6" s="134" t="inlineStr">
        <is>
          <t>Marzo 2026</t>
        </is>
      </c>
      <c r="B6" s="63" t="inlineStr">
        <is>
          <t>TikTok</t>
        </is>
      </c>
      <c r="C6" s="63" t="inlineStr">
        <is>
          <t>Canal</t>
        </is>
      </c>
      <c r="D6" s="63" t="inlineStr">
        <is>
          <t>TikTok se consolida como principal motor de visibilidad.</t>
        </is>
      </c>
      <c r="E6" s="63" t="inlineStr">
        <is>
          <t>4.5M views, 17.148 interacciones y ER cercano a 1%.</t>
        </is>
      </c>
      <c r="F6" s="63" t="inlineStr">
        <is>
          <t>El lenguaje nativo y educativo conecta mejor que lo explícitamente publicitario.</t>
        </is>
      </c>
      <c r="G6" s="63" t="inlineStr">
        <is>
          <t>Potenciar formatos conversacionales, EGC y tutoriales útiles.</t>
        </is>
      </c>
      <c r="H6" s="63" t="inlineStr">
        <is>
          <t>Alta</t>
        </is>
      </c>
      <c r="I6" s="63" t="inlineStr">
        <is>
          <t>Sí</t>
        </is>
      </c>
      <c r="J6" s="63" t="inlineStr">
        <is>
          <t>TikTok</t>
        </is>
      </c>
      <c r="K6" s="64" t="inlineStr">
        <is>
          <t>Aprobado</t>
        </is>
      </c>
    </row>
    <row r="7">
      <c r="A7" s="134" t="inlineStr">
        <is>
          <t>Marzo 2026</t>
        </is>
      </c>
      <c r="B7" s="63" t="inlineStr">
        <is>
          <t>Facebook</t>
        </is>
      </c>
      <c r="C7" s="63" t="inlineStr">
        <is>
          <t>Canal</t>
        </is>
      </c>
      <c r="D7" s="63" t="inlineStr">
        <is>
          <t>Facebook repunta y mantiene comunidad sólida.</t>
        </is>
      </c>
      <c r="E7" s="63" t="inlineStr">
        <is>
          <t>565.501 seguidores y +430 vs mes anterior.</t>
        </is>
      </c>
      <c r="F7" s="63" t="inlineStr">
        <is>
          <t>Es útil para formatos gráficos/oferta y audiencias más maduras.</t>
        </is>
      </c>
      <c r="G7" s="63" t="inlineStr">
        <is>
          <t>Mantener comunicación táctica, ofertas y piezas simples de alto entendimiento.</t>
        </is>
      </c>
      <c r="H7" s="63" t="inlineStr">
        <is>
          <t>Media</t>
        </is>
      </c>
      <c r="I7" s="63" t="inlineStr">
        <is>
          <t>Sí</t>
        </is>
      </c>
      <c r="J7" s="63" t="inlineStr">
        <is>
          <t>Facebook</t>
        </is>
      </c>
      <c r="K7" s="64" t="inlineStr">
        <is>
          <t>Aprobado</t>
        </is>
      </c>
    </row>
    <row r="8">
      <c r="A8" s="134" t="inlineStr">
        <is>
          <t>Marzo 2026</t>
        </is>
      </c>
      <c r="B8" s="63" t="inlineStr">
        <is>
          <t>Instagram</t>
        </is>
      </c>
      <c r="C8" s="63" t="inlineStr">
        <is>
          <t>Canal</t>
        </is>
      </c>
      <c r="D8" s="63" t="inlineStr">
        <is>
          <t>Instagram mantiene base fuerte, pero con interacción más moderada.</t>
        </is>
      </c>
      <c r="E8" s="63" t="inlineStr">
        <is>
          <t>332.382 seguidores y +1.389 vs febrero; ER 1.4%.</t>
        </is>
      </c>
      <c r="F8" s="63" t="inlineStr">
        <is>
          <t>La salida del contexto festivalero reduce conversación espontánea.</t>
        </is>
      </c>
      <c r="G8" s="63" t="inlineStr">
        <is>
          <t>Reforzar cultura pop, UGC educativo y colaboraciones con creadoras.</t>
        </is>
      </c>
      <c r="H8" s="63" t="inlineStr">
        <is>
          <t>Alta</t>
        </is>
      </c>
      <c r="I8" s="63" t="inlineStr">
        <is>
          <t>Sí</t>
        </is>
      </c>
      <c r="J8" s="63" t="inlineStr">
        <is>
          <t>Instagram</t>
        </is>
      </c>
      <c r="K8" s="64" t="inlineStr">
        <is>
          <t>Aprobado</t>
        </is>
      </c>
    </row>
    <row r="9">
      <c r="A9" s="134" t="inlineStr">
        <is>
          <t>Marzo 2026</t>
        </is>
      </c>
      <c r="B9" s="63" t="inlineStr">
        <is>
          <t>Squad</t>
        </is>
      </c>
      <c r="C9" s="63" t="inlineStr">
        <is>
          <t>Talentos</t>
        </is>
      </c>
      <c r="D9" s="63" t="inlineStr">
        <is>
          <t>Nuevos rostros ayudaron a amortiguar la baja vs febrero.</t>
        </is>
      </c>
      <c r="E9" s="63" t="inlineStr">
        <is>
          <t>Disley aporta 1.68M views sin pauta directa.</t>
        </is>
      </c>
      <c r="F9" s="63" t="inlineStr">
        <is>
          <t>Talentos con lenguaje propio pueden sostener relevancia cultural.</t>
        </is>
      </c>
      <c r="G9" s="63" t="inlineStr">
        <is>
          <t>Sumar perfiles de nicho y tendencia de forma ocasional.</t>
        </is>
      </c>
      <c r="H9" s="63" t="inlineStr">
        <is>
          <t>Alta</t>
        </is>
      </c>
      <c r="I9" s="63" t="inlineStr">
        <is>
          <t>Sí</t>
        </is>
      </c>
      <c r="J9" s="63" t="inlineStr">
        <is>
          <t>Squad</t>
        </is>
      </c>
      <c r="K9" s="64" t="inlineStr">
        <is>
          <t>Aprobado</t>
        </is>
      </c>
    </row>
    <row r="10">
      <c r="A10" s="135" t="inlineStr">
        <is>
          <t>Marzo 2026</t>
        </is>
      </c>
      <c r="B10" s="66" t="inlineStr">
        <is>
          <t>Competencia</t>
        </is>
      </c>
      <c r="C10" s="66" t="inlineStr">
        <is>
          <t>Benchmark</t>
        </is>
      </c>
      <c r="D10" s="66" t="inlineStr">
        <is>
          <t>Maicao lidera en Facebook, pero tiene oportunidad en TikTok.</t>
        </is>
      </c>
      <c r="E10" s="66" t="inlineStr">
        <is>
          <t>Reporte competitivo: posición fuerte en FB, intermedia en IG y menor en TikTok.</t>
        </is>
      </c>
      <c r="F10" s="66" t="inlineStr">
        <is>
          <t>La oportunidad no es solo volumen; es posicionamiento orgánico y diferencial.</t>
        </is>
      </c>
      <c r="G10" s="66" t="inlineStr">
        <is>
          <t>Desarrollar una estrategia TikTok consistente con EGC, UGC y hooks nativos.</t>
        </is>
      </c>
      <c r="H10" s="66" t="inlineStr">
        <is>
          <t>Alta</t>
        </is>
      </c>
      <c r="I10" s="66" t="inlineStr">
        <is>
          <t>Sí</t>
        </is>
      </c>
      <c r="J10" s="66" t="inlineStr">
        <is>
          <t>Competencia</t>
        </is>
      </c>
      <c r="K10" s="67" t="inlineStr">
        <is>
          <t>Aprobado</t>
        </is>
      </c>
    </row>
  </sheetData>
  <mergeCells count="2">
    <mergeCell ref="A2:K2"/>
    <mergeCell ref="A1:K1"/>
  </mergeCells>
  <dataValidations count="3">
    <dataValidation sqref="H1" showDropDown="0" showInputMessage="0" showErrorMessage="0" allowBlank="0" type="list">
      <formula1>"Alta,Media,Baja"</formula1>
    </dataValidation>
    <dataValidation sqref="I1" showDropDown="0" showInputMessage="0" showErrorMessage="0" allowBlank="0" type="list">
      <formula1>"Sí,No"</formula1>
    </dataValidation>
    <dataValidation sqref="K1" showDropDown="0" showInputMessage="0" showErrorMessage="0" allowBlank="0" type="list">
      <formula1>"Borrador,Aprobado,Revisar"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9.420000076293945" customWidth="1" min="1" max="1"/>
    <col width="7.539999961853027" customWidth="1" min="2" max="2"/>
    <col width="9.020000457763672" customWidth="1" min="3" max="3"/>
    <col width="45" customWidth="1" min="4" max="4"/>
    <col width="45" customWidth="1" min="5" max="5"/>
    <col width="32.56999969482422" customWidth="1" min="6" max="6"/>
    <col width="6.860000133514404" customWidth="1" min="7" max="7"/>
    <col width="12.52000045776367" customWidth="1" min="8" max="8"/>
    <col width="8.75" customWidth="1" min="9" max="9"/>
    <col width="9.689999580383301" customWidth="1" min="10" max="10"/>
  </cols>
  <sheetData>
    <row r="1" ht="28" customHeight="1">
      <c r="A1" s="130" t="inlineStr">
        <is>
          <t>08_Recomendaciones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 ht="22" customHeight="1">
      <c r="A2" s="131" t="inlineStr">
        <is>
          <t>Backlog accionable que puede alimentar una slide de próximos pasos.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3">
      <c r="A3" s="132" t="n"/>
    </row>
    <row r="4">
      <c r="A4" s="133" t="inlineStr">
        <is>
          <t>Mes</t>
        </is>
      </c>
      <c r="B4" s="57" t="inlineStr">
        <is>
          <t>Prioridad</t>
        </is>
      </c>
      <c r="C4" s="57" t="inlineStr">
        <is>
          <t>Área</t>
        </is>
      </c>
      <c r="D4" s="57" t="inlineStr">
        <is>
          <t>Recomendación</t>
        </is>
      </c>
      <c r="E4" s="57" t="inlineStr">
        <is>
          <t>Racional</t>
        </is>
      </c>
      <c r="F4" s="57" t="inlineStr">
        <is>
          <t>Impacto esperado</t>
        </is>
      </c>
      <c r="G4" s="57" t="inlineStr">
        <is>
          <t>Esfuerzo</t>
        </is>
      </c>
      <c r="H4" s="57" t="inlineStr">
        <is>
          <t>Responsable</t>
        </is>
      </c>
      <c r="I4" s="57" t="inlineStr">
        <is>
          <t>Status</t>
        </is>
      </c>
      <c r="J4" s="58" t="inlineStr">
        <is>
          <t>Usar en PPT</t>
        </is>
      </c>
    </row>
    <row r="5">
      <c r="A5" s="134" t="inlineStr">
        <is>
          <t>Marzo 2026</t>
        </is>
      </c>
      <c r="B5" s="63" t="inlineStr">
        <is>
          <t>Alta</t>
        </is>
      </c>
      <c r="C5" s="63" t="inlineStr">
        <is>
          <t>Creatividad</t>
        </is>
      </c>
      <c r="D5" s="63" t="inlineStr">
        <is>
          <t>Implementar hooks de 3 segundos en Reels/TikTok.</t>
        </is>
      </c>
      <c r="E5" s="63" t="inlineStr">
        <is>
          <t>El ER cayó al ampliar audiencias; necesitamos retener antes de explicar.</t>
        </is>
      </c>
      <c r="F5" s="63" t="inlineStr">
        <is>
          <t>Mayor retención e interacción</t>
        </is>
      </c>
      <c r="G5" s="63" t="inlineStr">
        <is>
          <t>Medio</t>
        </is>
      </c>
      <c r="H5" s="63" t="inlineStr">
        <is>
          <t>Agencia</t>
        </is>
      </c>
      <c r="I5" s="63" t="inlineStr">
        <is>
          <t>Propuesto</t>
        </is>
      </c>
      <c r="J5" s="64" t="inlineStr">
        <is>
          <t>Sí</t>
        </is>
      </c>
    </row>
    <row r="6">
      <c r="A6" s="134" t="inlineStr">
        <is>
          <t>Marzo 2026</t>
        </is>
      </c>
      <c r="B6" s="63" t="inlineStr">
        <is>
          <t>Alta</t>
        </is>
      </c>
      <c r="C6" s="63" t="inlineStr">
        <is>
          <t>Contenido</t>
        </is>
      </c>
      <c r="D6" s="63" t="inlineStr">
        <is>
          <t>Priorizar tutoriales, hacks y contenidos guardables.</t>
        </is>
      </c>
      <c r="E6" s="63" t="inlineStr">
        <is>
          <t>Los contenidos educativos generan guardados e interés práctico.</t>
        </is>
      </c>
      <c r="F6" s="63" t="inlineStr">
        <is>
          <t>Más guardados y engagement de calidad</t>
        </is>
      </c>
      <c r="G6" s="63" t="inlineStr">
        <is>
          <t>Medio</t>
        </is>
      </c>
      <c r="H6" s="63" t="inlineStr">
        <is>
          <t>Agencia</t>
        </is>
      </c>
      <c r="I6" s="63" t="inlineStr">
        <is>
          <t>Propuesto</t>
        </is>
      </c>
      <c r="J6" s="64" t="inlineStr">
        <is>
          <t>Sí</t>
        </is>
      </c>
    </row>
    <row r="7">
      <c r="A7" s="134" t="inlineStr">
        <is>
          <t>Marzo 2026</t>
        </is>
      </c>
      <c r="B7" s="63" t="inlineStr">
        <is>
          <t>Media</t>
        </is>
      </c>
      <c r="C7" s="63" t="inlineStr">
        <is>
          <t>Influencers</t>
        </is>
      </c>
      <c r="D7" s="63" t="inlineStr">
        <is>
          <t>Sumar talentos por nicho: skincare, maquillaje pro, Gen Z.</t>
        </is>
      </c>
      <c r="E7" s="63" t="inlineStr">
        <is>
          <t>Competencia gana por estética/comunidad; nichos pueden diferenciar.</t>
        </is>
      </c>
      <c r="F7" s="63" t="inlineStr">
        <is>
          <t>Mayor relevancia cultural</t>
        </is>
      </c>
      <c r="G7" s="63" t="inlineStr">
        <is>
          <t>Alto</t>
        </is>
      </c>
      <c r="H7" s="63" t="inlineStr">
        <is>
          <t>Cliente/Agencia</t>
        </is>
      </c>
      <c r="I7" s="63" t="inlineStr">
        <is>
          <t>Propuesto</t>
        </is>
      </c>
      <c r="J7" s="64" t="inlineStr">
        <is>
          <t>Sí</t>
        </is>
      </c>
    </row>
    <row r="8">
      <c r="A8" s="135" t="inlineStr">
        <is>
          <t>Marzo 2026</t>
        </is>
      </c>
      <c r="B8" s="66" t="inlineStr">
        <is>
          <t>Media</t>
        </is>
      </c>
      <c r="C8" s="66" t="inlineStr">
        <is>
          <t>Reporting</t>
        </is>
      </c>
      <c r="D8" s="66" t="inlineStr">
        <is>
          <t>Separar pauta real de pauta por contenido en tabla dedicada.</t>
        </is>
      </c>
      <c r="E8" s="66" t="inlineStr">
        <is>
          <t>La inversión total no cuadra con suma directa de columna monto.</t>
        </is>
      </c>
      <c r="F8" s="66" t="inlineStr">
        <is>
          <t>Menos descuadres y auditoría más clara</t>
        </is>
      </c>
      <c r="G8" s="66" t="inlineStr">
        <is>
          <t>Bajo</t>
        </is>
      </c>
      <c r="H8" s="66" t="inlineStr">
        <is>
          <t>Data</t>
        </is>
      </c>
      <c r="I8" s="66" t="inlineStr">
        <is>
          <t>En proceso</t>
        </is>
      </c>
      <c r="J8" s="67" t="inlineStr">
        <is>
          <t>Sí</t>
        </is>
      </c>
    </row>
  </sheetData>
  <mergeCells count="2">
    <mergeCell ref="A1:J1"/>
    <mergeCell ref="A2:J2"/>
  </mergeCells>
  <dataValidations count="4">
    <dataValidation sqref="B1" showDropDown="0" showInputMessage="0" showErrorMessage="0" allowBlank="0" type="list">
      <formula1>"Alta,Media,Baja"</formula1>
    </dataValidation>
    <dataValidation sqref="G1" showDropDown="0" showInputMessage="0" showErrorMessage="0" allowBlank="0" type="list">
      <formula1>"Bajo,Medio,Alto"</formula1>
    </dataValidation>
    <dataValidation sqref="I1" showDropDown="0" showInputMessage="0" showErrorMessage="0" allowBlank="0" type="list">
      <formula1>"Propuesto,En proceso,Aprobado,Descartado"</formula1>
    </dataValidation>
    <dataValidation sqref="J1" showDropDown="0" showInputMessage="0" showErrorMessage="0" allowBlank="0" type="list">
      <formula1>"Sí,No"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36" customWidth="1" min="7" max="7"/>
    <col width="18" customWidth="1" min="8" max="8"/>
    <col width="18" customWidth="1" min="9" max="9"/>
    <col width="18" customWidth="1" min="10" max="10"/>
  </cols>
  <sheetData>
    <row r="1" ht="28" customHeight="1">
      <c r="A1" s="9" t="inlineStr">
        <is>
          <t>09_Validaciones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 ht="22" customHeight="1">
      <c r="A2" s="17" t="inlineStr">
        <is>
          <t>Control de calidad mensual: descuadres, flags y criterios de inclusión.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4">
      <c r="A4" s="98" t="inlineStr">
        <is>
          <t>Bloque</t>
        </is>
      </c>
      <c r="B4" s="99" t="inlineStr">
        <is>
          <t>Métrica</t>
        </is>
      </c>
      <c r="C4" s="99" t="inlineStr">
        <is>
          <t>Calculado modelo</t>
        </is>
      </c>
      <c r="D4" s="99" t="inlineStr">
        <is>
          <t>Valor esperado / control</t>
        </is>
      </c>
      <c r="E4" s="99" t="inlineStr">
        <is>
          <t>Diferencia</t>
        </is>
      </c>
      <c r="F4" s="99" t="inlineStr">
        <is>
          <t>Estado</t>
        </is>
      </c>
      <c r="G4" s="99" t="inlineStr">
        <is>
          <t>Acción sugerida</t>
        </is>
      </c>
      <c r="H4" s="99" t="inlineStr">
        <is>
          <t>Severidad</t>
        </is>
      </c>
      <c r="I4" s="99" t="inlineStr">
        <is>
          <t>Responsable</t>
        </is>
      </c>
      <c r="J4" s="100" t="inlineStr">
        <is>
          <t>Notas</t>
        </is>
      </c>
    </row>
    <row r="5">
      <c r="A5" s="62" t="inlineStr">
        <is>
          <t>Overview</t>
        </is>
      </c>
      <c r="B5" s="63" t="inlineStr">
        <is>
          <t>Views</t>
        </is>
      </c>
      <c r="C5" s="63">
        <f>SUMIFS('01_Content_Raw'!K:K,'01_Content_Raw'!A:A,'00_Control'!B6,'01_Content_Raw'!Y:Y,"Sí")</f>
        <v/>
      </c>
      <c r="D5" s="63" t="n">
        <v>16486179</v>
      </c>
      <c r="E5" s="63">
        <f>C5-D5</f>
        <v/>
      </c>
      <c r="F5" s="63">
        <f>IF(E5=0,"OK","Revisar")</f>
        <v/>
      </c>
      <c r="G5" s="63" t="inlineStr">
        <is>
          <t>Validar diferencia de 270 views vs PPT/PDF</t>
        </is>
      </c>
      <c r="H5" s="63" t="inlineStr">
        <is>
          <t>Baja</t>
        </is>
      </c>
      <c r="I5" s="63" t="inlineStr">
        <is>
          <t>Data</t>
        </is>
      </c>
      <c r="J5" s="64" t="inlineStr">
        <is>
          <t>Probable ajuste manual o redondeo</t>
        </is>
      </c>
    </row>
    <row r="6">
      <c r="A6" s="62" t="inlineStr">
        <is>
          <t>Overview</t>
        </is>
      </c>
      <c r="B6" s="63" t="inlineStr">
        <is>
          <t>Alcance</t>
        </is>
      </c>
      <c r="C6" s="63">
        <f>SUMIFS('01_Content_Raw'!L:L,'01_Content_Raw'!A:A,'00_Control'!B6,'01_Content_Raw'!Y:Y,"Sí")</f>
        <v/>
      </c>
      <c r="D6" s="63" t="n">
        <v>8211420</v>
      </c>
      <c r="E6" s="63">
        <f>C6-D6</f>
        <v/>
      </c>
      <c r="F6" s="63">
        <f>IF(E6=0,"OK","Revisar")</f>
        <v/>
      </c>
      <c r="G6" s="63" t="inlineStr">
        <is>
          <t>OK si cuadra con reporte</t>
        </is>
      </c>
      <c r="H6" s="63" t="inlineStr">
        <is>
          <t>Alta</t>
        </is>
      </c>
      <c r="I6" s="63" t="inlineStr">
        <is>
          <t>Data</t>
        </is>
      </c>
      <c r="J6" s="64" t="str"/>
    </row>
    <row r="7">
      <c r="A7" s="62" t="inlineStr">
        <is>
          <t>Overview</t>
        </is>
      </c>
      <c r="B7" s="63" t="inlineStr">
        <is>
          <t>Interacciones</t>
        </is>
      </c>
      <c r="C7" s="63">
        <f>SUMIFS('01_Content_Raw'!T:T,'01_Content_Raw'!A:A,'00_Control'!B6,'01_Content_Raw'!Y:Y,"Sí")</f>
        <v/>
      </c>
      <c r="D7" s="63" t="n">
        <v>110695</v>
      </c>
      <c r="E7" s="63">
        <f>C7-D7</f>
        <v/>
      </c>
      <c r="F7" s="63">
        <f>IF(E7=0,"OK","Revisar")</f>
        <v/>
      </c>
      <c r="G7" s="63" t="inlineStr">
        <is>
          <t>OK si cuadra con reporte</t>
        </is>
      </c>
      <c r="H7" s="63" t="inlineStr">
        <is>
          <t>Alta</t>
        </is>
      </c>
      <c r="I7" s="63" t="inlineStr">
        <is>
          <t>Data</t>
        </is>
      </c>
      <c r="J7" s="64" t="str"/>
    </row>
    <row r="8">
      <c r="A8" s="62" t="inlineStr">
        <is>
          <t>Overview</t>
        </is>
      </c>
      <c r="B8" s="63" t="inlineStr">
        <is>
          <t>Contenidos</t>
        </is>
      </c>
      <c r="C8" s="63">
        <f>COUNTIFS('01_Content_Raw'!A:A,'00_Control'!B6,'01_Content_Raw'!Y:Y,"Sí")</f>
        <v/>
      </c>
      <c r="D8" s="63" t="n">
        <v>156</v>
      </c>
      <c r="E8" s="63">
        <f>C8-D8</f>
        <v/>
      </c>
      <c r="F8" s="63">
        <f>IF(E8=0,"OK","Revisar criterio")</f>
        <v/>
      </c>
      <c r="G8" s="63" t="inlineStr">
        <is>
          <t>Definir exclusiones Squad/MMPP</t>
        </is>
      </c>
      <c r="H8" s="63" t="inlineStr">
        <is>
          <t>Media</t>
        </is>
      </c>
      <c r="I8" s="63" t="inlineStr">
        <is>
          <t>Data</t>
        </is>
      </c>
      <c r="J8" s="64" t="inlineStr">
        <is>
          <t>Excel tiene 158 filas de contenido</t>
        </is>
      </c>
    </row>
    <row r="9">
      <c r="A9" s="62" t="inlineStr">
        <is>
          <t>Paid Media</t>
        </is>
      </c>
      <c r="B9" s="63" t="inlineStr">
        <is>
          <t>Inversión</t>
        </is>
      </c>
      <c r="C9" s="63">
        <f>SUMIFS('03_Paid_Media'!D:D,'03_Paid_Media'!A:A,'00_Control'!B6,'03_Paid_Media'!H:H,"Sí")</f>
        <v/>
      </c>
      <c r="D9" s="63" t="n">
        <v>3800400</v>
      </c>
      <c r="E9" s="63">
        <f>C9-D9</f>
        <v/>
      </c>
      <c r="F9" s="63">
        <f>IF(E9=0,"OK","Revisar")</f>
        <v/>
      </c>
      <c r="G9" s="63" t="inlineStr">
        <is>
          <t>Validar fuente de ajuste / sin asignar</t>
        </is>
      </c>
      <c r="H9" s="63" t="inlineStr">
        <is>
          <t>Alta</t>
        </is>
      </c>
      <c r="I9" s="63" t="inlineStr">
        <is>
          <t>Data/Media</t>
        </is>
      </c>
      <c r="J9" s="64" t="str"/>
    </row>
    <row r="10">
      <c r="A10" s="62" t="inlineStr">
        <is>
          <t>Data hygiene</t>
        </is>
      </c>
      <c r="B10" s="63" t="inlineStr">
        <is>
          <t>Filas sin plataforma</t>
        </is>
      </c>
      <c r="C10" s="63">
        <f>COUNTIFS('01_Content_Raw'!A:A,'00_Control'!B6,'01_Content_Raw'!C:C,"")</f>
        <v/>
      </c>
      <c r="D10" s="63" t="n">
        <v>0</v>
      </c>
      <c r="E10" s="63">
        <f>C10-D10</f>
        <v/>
      </c>
      <c r="F10" s="63">
        <f>IF(C10=0,"OK","Revisar")</f>
        <v/>
      </c>
      <c r="G10" s="63" t="inlineStr">
        <is>
          <t>Completar plataforma</t>
        </is>
      </c>
      <c r="H10" s="63" t="inlineStr">
        <is>
          <t>Alta</t>
        </is>
      </c>
      <c r="I10" s="63" t="inlineStr">
        <is>
          <t>Agencia</t>
        </is>
      </c>
      <c r="J10" s="64" t="str"/>
    </row>
    <row r="11">
      <c r="A11" s="62" t="inlineStr">
        <is>
          <t>Data hygiene</t>
        </is>
      </c>
      <c r="B11" s="63" t="inlineStr">
        <is>
          <t>Filas sin categoría</t>
        </is>
      </c>
      <c r="C11" s="63">
        <f>COUNTIFS('01_Content_Raw'!A:A,'00_Control'!B6,'01_Content_Raw'!D:D,"")</f>
        <v/>
      </c>
      <c r="D11" s="63" t="n">
        <v>0</v>
      </c>
      <c r="E11" s="63">
        <f>C11-D11</f>
        <v/>
      </c>
      <c r="F11" s="63">
        <f>IF(C11=0,"OK","Revisar")</f>
        <v/>
      </c>
      <c r="G11" s="63" t="inlineStr">
        <is>
          <t>Completar categoría</t>
        </is>
      </c>
      <c r="H11" s="63" t="inlineStr">
        <is>
          <t>Media</t>
        </is>
      </c>
      <c r="I11" s="63" t="inlineStr">
        <is>
          <t>Agencia</t>
        </is>
      </c>
      <c r="J11" s="64" t="str"/>
    </row>
    <row r="12">
      <c r="A12" s="65" t="inlineStr">
        <is>
          <t>Narrativa</t>
        </is>
      </c>
      <c r="B12" s="66" t="inlineStr">
        <is>
          <t>Insights aprobados</t>
        </is>
      </c>
      <c r="C12" s="66">
        <f>COUNTIFS('07_Insights'!I:I,"Sí",'07_Insights'!K:K,"Aprobado")</f>
        <v/>
      </c>
      <c r="D12" s="66" t="n">
        <v>6</v>
      </c>
      <c r="E12" s="66">
        <f>C12-D12</f>
        <v/>
      </c>
      <c r="F12" s="66">
        <f>IF(C12&gt;=D12,"OK","Revisar")</f>
        <v/>
      </c>
      <c r="G12" s="66" t="inlineStr">
        <is>
          <t>Aprobar insights antes de generar PPT</t>
        </is>
      </c>
      <c r="H12" s="66" t="inlineStr">
        <is>
          <t>Media</t>
        </is>
      </c>
      <c r="I12" s="66" t="inlineStr">
        <is>
          <t>Strategy</t>
        </is>
      </c>
      <c r="J12" s="67" t="str"/>
    </row>
  </sheetData>
  <mergeCells count="2">
    <mergeCell ref="A1:J1"/>
    <mergeCell ref="A2:J2"/>
  </mergeCells>
  <conditionalFormatting sqref="F1">
    <cfRule type="expression" priority="1" dxfId="0">
      <formula>LEFT(F5,2)="OK"</formula>
    </cfRule>
    <cfRule type="expression" priority="2" dxfId="1">
      <formula>LEFT(F5,7)="Revisar"</formula>
    </cfRule>
  </conditionalFormatting>
  <dataValidations count="1">
    <dataValidation sqref="H1" showDropDown="0" showInputMessage="0" showErrorMessage="0" allowBlank="0" type="list">
      <formula1>"Alta,Media,Baja"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30" customWidth="1" min="5" max="5"/>
    <col width="30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 ht="28" customHeight="1">
      <c r="A1" s="9" t="inlineStr">
        <is>
          <t>10_PPT_Mapping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 ht="22" customHeight="1">
      <c r="A2" s="17" t="inlineStr">
        <is>
          <t>Mapa técnico: define qué celda/tabla alimenta cada slide y cada placeholder de la PPT.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4">
      <c r="A4" s="56" t="inlineStr">
        <is>
          <t>Slide</t>
        </is>
      </c>
      <c r="B4" s="57" t="inlineStr">
        <is>
          <t>Nombre slide</t>
        </is>
      </c>
      <c r="C4" s="57" t="inlineStr">
        <is>
          <t>Elemento PPT / Placeholder</t>
        </is>
      </c>
      <c r="D4" s="57" t="inlineStr">
        <is>
          <t>Tipo</t>
        </is>
      </c>
      <c r="E4" s="57" t="inlineStr">
        <is>
          <t>Fuente Excel</t>
        </is>
      </c>
      <c r="F4" s="57" t="inlineStr">
        <is>
          <t>Regla / Filtro</t>
        </is>
      </c>
      <c r="G4" s="57" t="inlineStr">
        <is>
          <t>Formato</t>
        </is>
      </c>
      <c r="H4" s="57" t="inlineStr">
        <is>
          <t>Estado</t>
        </is>
      </c>
      <c r="I4" s="57" t="inlineStr">
        <is>
          <t>Notas</t>
        </is>
      </c>
      <c r="J4" s="58" t="inlineStr">
        <is>
          <t>Prioridad</t>
        </is>
      </c>
    </row>
    <row r="5">
      <c r="A5" s="62" t="n">
        <v>1</v>
      </c>
      <c r="B5" s="63" t="inlineStr">
        <is>
          <t>Portada</t>
        </is>
      </c>
      <c r="C5" s="63" t="inlineStr">
        <is>
          <t>{{mes_reporte}}</t>
        </is>
      </c>
      <c r="D5" s="63" t="inlineStr">
        <is>
          <t>Texto</t>
        </is>
      </c>
      <c r="E5" s="63" t="inlineStr">
        <is>
          <t>00_Control!B6</t>
        </is>
      </c>
      <c r="F5" s="63" t="inlineStr">
        <is>
          <t>Mes actual</t>
        </is>
      </c>
      <c r="G5" s="63" t="inlineStr">
        <is>
          <t>Texto</t>
        </is>
      </c>
      <c r="H5" s="63" t="inlineStr">
        <is>
          <t>Pendiente</t>
        </is>
      </c>
      <c r="I5" s="63" t="inlineStr">
        <is>
          <t>Se usará en plantilla PPT</t>
        </is>
      </c>
      <c r="J5" s="64" t="inlineStr">
        <is>
          <t>Alta</t>
        </is>
      </c>
    </row>
    <row r="6">
      <c r="A6" s="62" t="n">
        <v>2</v>
      </c>
      <c r="B6" s="63" t="inlineStr">
        <is>
          <t>Executive overview</t>
        </is>
      </c>
      <c r="C6" s="63" t="inlineStr">
        <is>
          <t>{{overview_views}}</t>
        </is>
      </c>
      <c r="D6" s="63" t="inlineStr">
        <is>
          <t>KPI</t>
        </is>
      </c>
      <c r="E6" s="63" t="inlineStr">
        <is>
          <t>09_Validaciones!C5</t>
        </is>
      </c>
      <c r="F6" s="63" t="inlineStr">
        <is>
          <t>Views incluidos overview</t>
        </is>
      </c>
      <c r="G6" s="63" t="inlineStr">
        <is>
          <t>#,##0</t>
        </is>
      </c>
      <c r="H6" s="63" t="inlineStr">
        <is>
          <t>Pendiente</t>
        </is>
      </c>
      <c r="I6" s="63" t="str"/>
      <c r="J6" s="64" t="inlineStr">
        <is>
          <t>Alta</t>
        </is>
      </c>
    </row>
    <row r="7">
      <c r="A7" s="62" t="n">
        <v>2</v>
      </c>
      <c r="B7" s="63" t="inlineStr">
        <is>
          <t>Executive overview</t>
        </is>
      </c>
      <c r="C7" s="63" t="inlineStr">
        <is>
          <t>{{overview_reach}}</t>
        </is>
      </c>
      <c r="D7" s="63" t="inlineStr">
        <is>
          <t>KPI</t>
        </is>
      </c>
      <c r="E7" s="63" t="inlineStr">
        <is>
          <t>09_Validaciones!C6</t>
        </is>
      </c>
      <c r="F7" s="63" t="inlineStr">
        <is>
          <t>Alcance incluido overview</t>
        </is>
      </c>
      <c r="G7" s="63" t="inlineStr">
        <is>
          <t>#,##0</t>
        </is>
      </c>
      <c r="H7" s="63" t="inlineStr">
        <is>
          <t>Pendiente</t>
        </is>
      </c>
      <c r="I7" s="63" t="str"/>
      <c r="J7" s="64" t="inlineStr">
        <is>
          <t>Alta</t>
        </is>
      </c>
    </row>
    <row r="8">
      <c r="A8" s="62" t="n">
        <v>2</v>
      </c>
      <c r="B8" s="63" t="inlineStr">
        <is>
          <t>Executive overview</t>
        </is>
      </c>
      <c r="C8" s="63" t="inlineStr">
        <is>
          <t>{{overview_interactions}}</t>
        </is>
      </c>
      <c r="D8" s="63" t="inlineStr">
        <is>
          <t>KPI</t>
        </is>
      </c>
      <c r="E8" s="63" t="inlineStr">
        <is>
          <t>09_Validaciones!C7</t>
        </is>
      </c>
      <c r="F8" s="63" t="inlineStr">
        <is>
          <t>Interacciones incluidas overview</t>
        </is>
      </c>
      <c r="G8" s="63" t="inlineStr">
        <is>
          <t>#,##0</t>
        </is>
      </c>
      <c r="H8" s="63" t="inlineStr">
        <is>
          <t>Pendiente</t>
        </is>
      </c>
      <c r="I8" s="63" t="str"/>
      <c r="J8" s="64" t="inlineStr">
        <is>
          <t>Alta</t>
        </is>
      </c>
    </row>
    <row r="9">
      <c r="A9" s="62" t="n">
        <v>2</v>
      </c>
      <c r="B9" s="63" t="inlineStr">
        <is>
          <t>Executive overview</t>
        </is>
      </c>
      <c r="C9" s="63" t="inlineStr">
        <is>
          <t>{{overview_investment}}</t>
        </is>
      </c>
      <c r="D9" s="63" t="inlineStr">
        <is>
          <t>KPI</t>
        </is>
      </c>
      <c r="E9" s="63" t="inlineStr">
        <is>
          <t>09_Validaciones!C9</t>
        </is>
      </c>
      <c r="F9" s="63" t="inlineStr">
        <is>
          <t>Inversión incluida overview</t>
        </is>
      </c>
      <c r="G9" s="63" t="inlineStr">
        <is>
          <t>$#,##0</t>
        </is>
      </c>
      <c r="H9" s="63" t="inlineStr">
        <is>
          <t>Pendiente</t>
        </is>
      </c>
      <c r="I9" s="63" t="str"/>
      <c r="J9" s="64" t="inlineStr">
        <is>
          <t>Alta</t>
        </is>
      </c>
    </row>
    <row r="10">
      <c r="A10" s="62" t="n">
        <v>3</v>
      </c>
      <c r="B10" s="63" t="inlineStr">
        <is>
          <t>Plataformas</t>
        </is>
      </c>
      <c r="C10" s="63" t="inlineStr">
        <is>
          <t>chart_platform_views</t>
        </is>
      </c>
      <c r="D10" s="63" t="inlineStr">
        <is>
          <t>Gráfico</t>
        </is>
      </c>
      <c r="E10" s="63" t="inlineStr">
        <is>
          <t>01_Content_Raw</t>
        </is>
      </c>
      <c r="F10" s="63" t="inlineStr">
        <is>
          <t>SUMIFS por plataforma</t>
        </is>
      </c>
      <c r="G10" s="63" t="inlineStr">
        <is>
          <t>Bar chart</t>
        </is>
      </c>
      <c r="H10" s="63" t="inlineStr">
        <is>
          <t>Pendiente</t>
        </is>
      </c>
      <c r="I10" s="63" t="inlineStr">
        <is>
          <t>Gráfico editable PPT</t>
        </is>
      </c>
      <c r="J10" s="64" t="inlineStr">
        <is>
          <t>Alta</t>
        </is>
      </c>
    </row>
    <row r="11">
      <c r="A11" s="62" t="n">
        <v>4</v>
      </c>
      <c r="B11" s="63" t="inlineStr">
        <is>
          <t>Instagram</t>
        </is>
      </c>
      <c r="C11" s="63" t="inlineStr">
        <is>
          <t>{{ig_insight}}</t>
        </is>
      </c>
      <c r="D11" s="63" t="inlineStr">
        <is>
          <t>Texto</t>
        </is>
      </c>
      <c r="E11" s="63" t="inlineStr">
        <is>
          <t>07_Insights</t>
        </is>
      </c>
      <c r="F11" s="63" t="inlineStr">
        <is>
          <t>Sección=Instagram, Usar=Sí</t>
        </is>
      </c>
      <c r="G11" s="63" t="inlineStr">
        <is>
          <t>Texto</t>
        </is>
      </c>
      <c r="H11" s="63" t="inlineStr">
        <is>
          <t>Pendiente</t>
        </is>
      </c>
      <c r="I11" s="63" t="str"/>
      <c r="J11" s="64" t="inlineStr">
        <is>
          <t>Alta</t>
        </is>
      </c>
    </row>
    <row r="12">
      <c r="A12" s="62" t="n">
        <v>5</v>
      </c>
      <c r="B12" s="63" t="inlineStr">
        <is>
          <t>Facebook</t>
        </is>
      </c>
      <c r="C12" s="63" t="inlineStr">
        <is>
          <t>{{fb_insight}}</t>
        </is>
      </c>
      <c r="D12" s="63" t="inlineStr">
        <is>
          <t>Texto</t>
        </is>
      </c>
      <c r="E12" s="63" t="inlineStr">
        <is>
          <t>07_Insights</t>
        </is>
      </c>
      <c r="F12" s="63" t="inlineStr">
        <is>
          <t>Sección=Facebook, Usar=Sí</t>
        </is>
      </c>
      <c r="G12" s="63" t="inlineStr">
        <is>
          <t>Texto</t>
        </is>
      </c>
      <c r="H12" s="63" t="inlineStr">
        <is>
          <t>Pendiente</t>
        </is>
      </c>
      <c r="I12" s="63" t="str"/>
      <c r="J12" s="64" t="inlineStr">
        <is>
          <t>Media</t>
        </is>
      </c>
    </row>
    <row r="13">
      <c r="A13" s="62" t="n">
        <v>6</v>
      </c>
      <c r="B13" s="63" t="inlineStr">
        <is>
          <t>TikTok</t>
        </is>
      </c>
      <c r="C13" s="63" t="inlineStr">
        <is>
          <t>{{tiktok_insight}}</t>
        </is>
      </c>
      <c r="D13" s="63" t="inlineStr">
        <is>
          <t>Texto</t>
        </is>
      </c>
      <c r="E13" s="63" t="inlineStr">
        <is>
          <t>07_Insights</t>
        </is>
      </c>
      <c r="F13" s="63" t="inlineStr">
        <is>
          <t>Sección=TikTok, Usar=Sí</t>
        </is>
      </c>
      <c r="G13" s="63" t="inlineStr">
        <is>
          <t>Texto</t>
        </is>
      </c>
      <c r="H13" s="63" t="inlineStr">
        <is>
          <t>Pendiente</t>
        </is>
      </c>
      <c r="I13" s="63" t="str"/>
      <c r="J13" s="64" t="inlineStr">
        <is>
          <t>Alta</t>
        </is>
      </c>
    </row>
    <row r="14">
      <c r="A14" s="62" t="n">
        <v>7</v>
      </c>
      <c r="B14" s="63" t="inlineStr">
        <is>
          <t>Squad</t>
        </is>
      </c>
      <c r="C14" s="63" t="inlineStr">
        <is>
          <t>chart_squad_performance</t>
        </is>
      </c>
      <c r="D14" s="63" t="inlineStr">
        <is>
          <t>Gráfico</t>
        </is>
      </c>
      <c r="E14" s="63" t="inlineStr">
        <is>
          <t>04_Squad</t>
        </is>
      </c>
      <c r="F14" s="63" t="inlineStr">
        <is>
          <t>Usar en PPT=Sí</t>
        </is>
      </c>
      <c r="G14" s="63" t="inlineStr">
        <is>
          <t>Bubble/bar</t>
        </is>
      </c>
      <c r="H14" s="63" t="inlineStr">
        <is>
          <t>Pendiente</t>
        </is>
      </c>
      <c r="I14" s="63" t="str"/>
      <c r="J14" s="64" t="inlineStr">
        <is>
          <t>Alta</t>
        </is>
      </c>
    </row>
    <row r="15">
      <c r="A15" s="62" t="n">
        <v>8</v>
      </c>
      <c r="B15" s="63" t="inlineStr">
        <is>
          <t>MMPP</t>
        </is>
      </c>
      <c r="C15" s="63" t="inlineStr">
        <is>
          <t>{{mmpp_comment}}</t>
        </is>
      </c>
      <c r="D15" s="63" t="inlineStr">
        <is>
          <t>Texto</t>
        </is>
      </c>
      <c r="E15" s="63" t="inlineStr">
        <is>
          <t>05_MMPP</t>
        </is>
      </c>
      <c r="F15" s="63" t="inlineStr">
        <is>
          <t>Usar en PPT=Sí</t>
        </is>
      </c>
      <c r="G15" s="63" t="inlineStr">
        <is>
          <t>Texto</t>
        </is>
      </c>
      <c r="H15" s="63" t="inlineStr">
        <is>
          <t>Pendiente</t>
        </is>
      </c>
      <c r="I15" s="63" t="str"/>
      <c r="J15" s="64" t="inlineStr">
        <is>
          <t>Media</t>
        </is>
      </c>
    </row>
    <row r="16">
      <c r="A16" s="62" t="n">
        <v>9</v>
      </c>
      <c r="B16" s="63" t="inlineStr">
        <is>
          <t>Competencia</t>
        </is>
      </c>
      <c r="C16" s="63" t="inlineStr">
        <is>
          <t>chart_competencia</t>
        </is>
      </c>
      <c r="D16" s="63" t="inlineStr">
        <is>
          <t>Gráfico</t>
        </is>
      </c>
      <c r="E16" s="63" t="inlineStr">
        <is>
          <t>06_Competencia</t>
        </is>
      </c>
      <c r="F16" s="63" t="inlineStr">
        <is>
          <t>Usar gráfico=Sí</t>
        </is>
      </c>
      <c r="G16" s="63" t="inlineStr">
        <is>
          <t>Clustered bar</t>
        </is>
      </c>
      <c r="H16" s="63" t="inlineStr">
        <is>
          <t>Pendiente</t>
        </is>
      </c>
      <c r="I16" s="63" t="inlineStr">
        <is>
          <t>Requiere carga exacta</t>
        </is>
      </c>
      <c r="J16" s="64" t="inlineStr">
        <is>
          <t>Alta</t>
        </is>
      </c>
    </row>
    <row r="17">
      <c r="A17" s="65" t="n">
        <v>10</v>
      </c>
      <c r="B17" s="66" t="inlineStr">
        <is>
          <t>Recomendaciones</t>
        </is>
      </c>
      <c r="C17" s="66" t="inlineStr">
        <is>
          <t>recommendation_cards</t>
        </is>
      </c>
      <c r="D17" s="66" t="inlineStr">
        <is>
          <t>Texto/tabla</t>
        </is>
      </c>
      <c r="E17" s="66" t="inlineStr">
        <is>
          <t>08_Recomendaciones</t>
        </is>
      </c>
      <c r="F17" s="66" t="inlineStr">
        <is>
          <t>Usar PPT=Sí</t>
        </is>
      </c>
      <c r="G17" s="66" t="inlineStr">
        <is>
          <t>Cards</t>
        </is>
      </c>
      <c r="H17" s="66" t="inlineStr">
        <is>
          <t>Pendiente</t>
        </is>
      </c>
      <c r="I17" s="66" t="str"/>
      <c r="J17" s="67" t="inlineStr">
        <is>
          <t>Alta</t>
        </is>
      </c>
    </row>
  </sheetData>
  <mergeCells count="2">
    <mergeCell ref="A1:J1"/>
    <mergeCell ref="A2:J2"/>
  </mergeCells>
  <dataValidations count="3">
    <dataValidation sqref="D1" showDropDown="0" showInputMessage="0" showErrorMessage="0" allowBlank="0" type="list">
      <formula1>"Texto,KPI,Gráfico,Tabla,Texto/tabla"</formula1>
    </dataValidation>
    <dataValidation sqref="H1" showDropDown="0" showInputMessage="0" showErrorMessage="0" allowBlank="0" type="list">
      <formula1>"Pendiente,En desarrollo,Listo,No aplica"</formula1>
    </dataValidation>
    <dataValidation sqref="J1" showDropDown="0" showInputMessage="0" showErrorMessage="0" allowBlank="0" type="list">
      <formula1>"Alta,Media,Baja"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8" customHeight="1">
      <c r="A1" s="9" t="inlineStr">
        <is>
          <t>11_Diccionario</t>
        </is>
      </c>
      <c r="B1" s="1" t="n"/>
      <c r="C1" s="1" t="n"/>
      <c r="D1" s="1" t="n"/>
      <c r="E1" s="1" t="n"/>
      <c r="F1" s="1" t="n"/>
      <c r="G1" s="1" t="n"/>
      <c r="H1" s="1" t="n"/>
    </row>
    <row r="2" ht="22" customHeight="1">
      <c r="A2" s="17" t="inlineStr">
        <is>
          <t>Definiciones para estandarizar la carga mensual y evitar ambigüedades.</t>
        </is>
      </c>
      <c r="B2" s="1" t="n"/>
      <c r="C2" s="1" t="n"/>
      <c r="D2" s="1" t="n"/>
      <c r="E2" s="1" t="n"/>
      <c r="F2" s="1" t="n"/>
      <c r="G2" s="1" t="n"/>
      <c r="H2" s="1" t="n"/>
    </row>
    <row r="4">
      <c r="A4" s="78" t="inlineStr">
        <is>
          <t>Campo</t>
        </is>
      </c>
      <c r="B4" s="79" t="inlineStr">
        <is>
          <t>Definición</t>
        </is>
      </c>
      <c r="C4" s="79" t="inlineStr">
        <is>
          <t>Tipo</t>
        </is>
      </c>
      <c r="D4" s="79" t="inlineStr">
        <is>
          <t>Obligatorio</t>
        </is>
      </c>
      <c r="E4" s="79" t="inlineStr">
        <is>
          <t>Valores permitidos / Ejemplo</t>
        </is>
      </c>
      <c r="F4" s="80" t="inlineStr">
        <is>
          <t>Notas</t>
        </is>
      </c>
    </row>
    <row r="5">
      <c r="A5" s="62" t="inlineStr">
        <is>
          <t>Mes</t>
        </is>
      </c>
      <c r="B5" s="63" t="inlineStr">
        <is>
          <t>Mes del reporte en formato 'Marzo 2026'.</t>
        </is>
      </c>
      <c r="C5" s="63" t="inlineStr">
        <is>
          <t>Texto</t>
        </is>
      </c>
      <c r="D5" s="63" t="inlineStr">
        <is>
          <t>Sí</t>
        </is>
      </c>
      <c r="E5" s="63" t="inlineStr">
        <is>
          <t>Marzo 2026</t>
        </is>
      </c>
      <c r="F5" s="64" t="inlineStr">
        <is>
          <t>Debe coincidir con 00_Control</t>
        </is>
      </c>
    </row>
    <row r="6">
      <c r="A6" s="62" t="inlineStr">
        <is>
          <t>Plataforma</t>
        </is>
      </c>
      <c r="B6" s="63" t="inlineStr">
        <is>
          <t>Red social donde se publicó el contenido.</t>
        </is>
      </c>
      <c r="C6" s="63" t="inlineStr">
        <is>
          <t>Categoría</t>
        </is>
      </c>
      <c r="D6" s="63" t="inlineStr">
        <is>
          <t>Sí</t>
        </is>
      </c>
      <c r="E6" s="63" t="inlineStr">
        <is>
          <t>Instagram / Facebook / TikTok</t>
        </is>
      </c>
      <c r="F6" s="64" t="inlineStr">
        <is>
          <t>Usar nombres normalizados</t>
        </is>
      </c>
    </row>
    <row r="7">
      <c r="A7" s="62" t="inlineStr">
        <is>
          <t>Categoría</t>
        </is>
      </c>
      <c r="B7" s="63" t="inlineStr">
        <is>
          <t>Tipo estratégico del contenido.</t>
        </is>
      </c>
      <c r="C7" s="63" t="inlineStr">
        <is>
          <t>Categoría</t>
        </is>
      </c>
      <c r="D7" s="63" t="inlineStr">
        <is>
          <t>Sí</t>
        </is>
      </c>
      <c r="E7" s="63" t="inlineStr">
        <is>
          <t>UGC / EGC / CAMPAÑA / EXTRA / SQUAD / CONCURSO</t>
        </is>
      </c>
      <c r="F7" s="64" t="inlineStr">
        <is>
          <t>Permite agrupar</t>
        </is>
      </c>
    </row>
    <row r="8">
      <c r="A8" s="62" t="inlineStr">
        <is>
          <t>Formato</t>
        </is>
      </c>
      <c r="B8" s="63" t="inlineStr">
        <is>
          <t>Formato de publicación.</t>
        </is>
      </c>
      <c r="C8" s="63" t="inlineStr">
        <is>
          <t>Categoría</t>
        </is>
      </c>
      <c r="D8" s="63" t="inlineStr">
        <is>
          <t>Sí</t>
        </is>
      </c>
      <c r="E8" s="63" t="inlineStr">
        <is>
          <t>Story / Reel / Carrusel / Post / TikTok</t>
        </is>
      </c>
      <c r="F8" s="64" t="str"/>
    </row>
    <row r="9">
      <c r="A9" s="62" t="inlineStr">
        <is>
          <t>Talento</t>
        </is>
      </c>
      <c r="B9" s="63" t="inlineStr">
        <is>
          <t>Cuenta o persona protagonista.</t>
        </is>
      </c>
      <c r="C9" s="63" t="inlineStr">
        <is>
          <t>Texto</t>
        </is>
      </c>
      <c r="D9" s="63" t="inlineStr">
        <is>
          <t>No</t>
        </is>
      </c>
      <c r="E9" s="63" t="inlineStr">
        <is>
          <t>maicao / Disley Ramos / Skarleth Labra</t>
        </is>
      </c>
      <c r="F9" s="64" t="inlineStr">
        <is>
          <t>Clave para Squad</t>
        </is>
      </c>
    </row>
    <row r="10">
      <c r="A10" s="62" t="inlineStr">
        <is>
          <t>Interacciones totales</t>
        </is>
      </c>
      <c r="B10" s="63" t="inlineStr">
        <is>
          <t>Suma de likes, comentarios, clicks, stickers, guardados, repost y compartidos.</t>
        </is>
      </c>
      <c r="C10" s="63" t="inlineStr">
        <is>
          <t>Número</t>
        </is>
      </c>
      <c r="D10" s="63" t="inlineStr">
        <is>
          <t>Sí</t>
        </is>
      </c>
      <c r="E10" s="63" t="inlineStr">
        <is>
          <t>110695</t>
        </is>
      </c>
      <c r="F10" s="64" t="inlineStr">
        <is>
          <t>Depende de métrica disponible por plataforma</t>
        </is>
      </c>
    </row>
    <row r="11">
      <c r="A11" s="62" t="inlineStr">
        <is>
          <t>ER %</t>
        </is>
      </c>
      <c r="B11" s="63" t="inlineStr">
        <is>
          <t>Engagement rate en puntos porcentuales, no decimal.</t>
        </is>
      </c>
      <c r="C11" s="63" t="inlineStr">
        <is>
          <t>Número</t>
        </is>
      </c>
      <c r="D11" s="63" t="inlineStr">
        <is>
          <t>Sí</t>
        </is>
      </c>
      <c r="E11" s="63" t="inlineStr">
        <is>
          <t>1.3</t>
        </is>
      </c>
      <c r="F11" s="64" t="inlineStr">
        <is>
          <t>1.3 significa 1.3%</t>
        </is>
      </c>
    </row>
    <row r="12">
      <c r="A12" s="62" t="inlineStr">
        <is>
          <t>Incluir Overview</t>
        </is>
      </c>
      <c r="B12" s="63" t="inlineStr">
        <is>
          <t>Controla si la pieza suma en la slide overview.</t>
        </is>
      </c>
      <c r="C12" s="63" t="inlineStr">
        <is>
          <t>Sí/No</t>
        </is>
      </c>
      <c r="D12" s="63" t="inlineStr">
        <is>
          <t>Sí</t>
        </is>
      </c>
      <c r="E12" s="63" t="inlineStr">
        <is>
          <t>Sí / No</t>
        </is>
      </c>
      <c r="F12" s="64" t="inlineStr">
        <is>
          <t>Evita descuadres</t>
        </is>
      </c>
    </row>
    <row r="13">
      <c r="A13" s="62" t="inlineStr">
        <is>
          <t>Incluir Plataforma</t>
        </is>
      </c>
      <c r="B13" s="63" t="inlineStr">
        <is>
          <t>Controla si suma dentro de la slide de plataforma.</t>
        </is>
      </c>
      <c r="C13" s="63" t="inlineStr">
        <is>
          <t>Sí/No</t>
        </is>
      </c>
      <c r="D13" s="63" t="inlineStr">
        <is>
          <t>Sí</t>
        </is>
      </c>
      <c r="E13" s="63" t="inlineStr">
        <is>
          <t>Sí / No</t>
        </is>
      </c>
      <c r="F13" s="64" t="inlineStr">
        <is>
          <t>Por ejemplo excluir Squad si se reporta separado</t>
        </is>
      </c>
    </row>
    <row r="14">
      <c r="A14" s="65" t="inlineStr">
        <is>
          <t>Insight</t>
        </is>
      </c>
      <c r="B14" s="66" t="inlineStr">
        <is>
          <t>Texto cualitativo estructurado para la PPT.</t>
        </is>
      </c>
      <c r="C14" s="66" t="inlineStr">
        <is>
          <t>Texto</t>
        </is>
      </c>
      <c r="D14" s="66" t="inlineStr">
        <is>
          <t>No</t>
        </is>
      </c>
      <c r="E14" s="66" t="inlineStr">
        <is>
          <t>Hallazgo + evidencia + implicancia</t>
        </is>
      </c>
      <c r="F14" s="67" t="inlineStr">
        <is>
          <t>Debe ser aprobado antes del PPT</t>
        </is>
      </c>
    </row>
  </sheetData>
  <mergeCells count="2">
    <mergeCell ref="A2:H2"/>
    <mergeCell ref="A1:H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28" customHeight="1">
      <c r="A1" s="9" t="inlineStr">
        <is>
          <t>12_Chart_Data</t>
        </is>
      </c>
      <c r="B1" s="1" t="n"/>
      <c r="C1" s="1" t="n"/>
      <c r="D1" s="1" t="n"/>
      <c r="E1" s="1" t="n"/>
      <c r="F1" s="1" t="n"/>
      <c r="G1" s="1" t="n"/>
      <c r="H1" s="1" t="n"/>
    </row>
    <row r="2" ht="22" customHeight="1">
      <c r="A2" s="17" t="inlineStr">
        <is>
          <t>Tablas auxiliares para gráficos automáticos. Puede ocultarse en producción.</t>
        </is>
      </c>
      <c r="B2" s="1" t="n"/>
      <c r="C2" s="1" t="n"/>
      <c r="D2" s="1" t="n"/>
      <c r="E2" s="1" t="n"/>
      <c r="F2" s="1" t="n"/>
      <c r="G2" s="1" t="n"/>
      <c r="H2" s="1" t="n"/>
    </row>
    <row r="4">
      <c r="A4" s="56" t="inlineStr">
        <is>
          <t>Plataforma</t>
        </is>
      </c>
      <c r="B4" s="57" t="inlineStr">
        <is>
          <t>Views</t>
        </is>
      </c>
      <c r="C4" s="57" t="inlineStr">
        <is>
          <t>Alcance</t>
        </is>
      </c>
      <c r="D4" s="57" t="inlineStr">
        <is>
          <t>Interacciones</t>
        </is>
      </c>
      <c r="E4" s="58" t="inlineStr">
        <is>
          <t>Contenidos</t>
        </is>
      </c>
    </row>
    <row r="5">
      <c r="A5" s="62" t="inlineStr">
        <is>
          <t>Instagram</t>
        </is>
      </c>
      <c r="B5" s="63" t="n">
        <v>8231124</v>
      </c>
      <c r="C5" s="63" t="n">
        <v>3962613</v>
      </c>
      <c r="D5" s="63" t="n">
        <v>58723</v>
      </c>
      <c r="E5" s="64" t="n">
        <v>99</v>
      </c>
    </row>
    <row r="6">
      <c r="A6" s="62" t="inlineStr">
        <is>
          <t>Facebook</t>
        </is>
      </c>
      <c r="B6" s="63" t="n">
        <v>3223306</v>
      </c>
      <c r="C6" s="63" t="n">
        <v>1905477</v>
      </c>
      <c r="D6" s="63" t="n">
        <v>4656</v>
      </c>
      <c r="E6" s="64" t="n">
        <v>31</v>
      </c>
    </row>
    <row r="7">
      <c r="A7" s="65" t="inlineStr">
        <is>
          <t>TikTok</t>
        </is>
      </c>
      <c r="B7" s="66" t="n">
        <v>5031479</v>
      </c>
      <c r="C7" s="66" t="n">
        <v>2343330</v>
      </c>
      <c r="D7" s="66" t="n">
        <v>47316</v>
      </c>
      <c r="E7" s="67" t="n">
        <v>28</v>
      </c>
    </row>
  </sheetData>
  <mergeCells count="2">
    <mergeCell ref="A2:H2"/>
    <mergeCell ref="A1:H1"/>
  </mergeCells>
  <pageMargins left="0.7" right="0.7" top="0.75" bottom="0.75" header="0.3" footer="0.3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Z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42" customWidth="1" min="25" max="25"/>
    <col width="42" customWidth="1" min="26" max="26"/>
  </cols>
  <sheetData>
    <row r="1">
      <c r="A1" s="137" t="inlineStr">
        <is>
          <t>KPIs oficiales por plataforma</t>
        </is>
      </c>
    </row>
    <row r="2">
      <c r="A2" s="138" t="inlineStr">
        <is>
          <t>Editar esta hoja para que cambien los KPIs de Instagram, Facebook, TikTok y la slide de portafolio de canales</t>
        </is>
      </c>
    </row>
    <row r="3">
      <c r="A3" s="132" t="n"/>
    </row>
    <row r="4">
      <c r="A4" s="139" t="inlineStr">
        <is>
          <t>Mes</t>
        </is>
      </c>
      <c r="B4" s="106" t="inlineStr">
        <is>
          <t>Plataforma</t>
        </is>
      </c>
      <c r="C4" s="106" t="inlineStr">
        <is>
          <t>Views</t>
        </is>
      </c>
      <c r="D4" s="106" t="inlineStr">
        <is>
          <t>Views mes anterior</t>
        </is>
      </c>
      <c r="E4" s="106" t="inlineStr">
        <is>
          <t>Alcance</t>
        </is>
      </c>
      <c r="F4" s="106" t="inlineStr">
        <is>
          <t>Alcance mes anterior</t>
        </is>
      </c>
      <c r="G4" s="106" t="inlineStr">
        <is>
          <t>Interacciones</t>
        </is>
      </c>
      <c r="H4" s="106" t="inlineStr">
        <is>
          <t>Interacciones mes anterior</t>
        </is>
      </c>
      <c r="I4" s="106" t="inlineStr">
        <is>
          <t>ER %</t>
        </is>
      </c>
      <c r="J4" s="106" t="inlineStr">
        <is>
          <t>ER % mes anterior</t>
        </is>
      </c>
      <c r="K4" s="106" t="inlineStr">
        <is>
          <t>Contenidos</t>
        </is>
      </c>
      <c r="L4" s="106" t="inlineStr">
        <is>
          <t>Contenidos mes anterior</t>
        </is>
      </c>
      <c r="M4" s="106" t="inlineStr">
        <is>
          <t>Stories</t>
        </is>
      </c>
      <c r="N4" s="106" t="inlineStr">
        <is>
          <t>Reels</t>
        </is>
      </c>
      <c r="O4" s="106" t="inlineStr">
        <is>
          <t>Carruseles</t>
        </is>
      </c>
      <c r="P4" s="106" t="inlineStr">
        <is>
          <t>Post</t>
        </is>
      </c>
      <c r="Q4" s="106" t="inlineStr">
        <is>
          <t>Presupuesto</t>
        </is>
      </c>
      <c r="R4" s="106" t="inlineStr">
        <is>
          <t>Presupuesto mes anterior</t>
        </is>
      </c>
      <c r="S4" s="106" t="inlineStr">
        <is>
          <t>Top 1 nombre</t>
        </is>
      </c>
      <c r="T4" s="106" t="inlineStr">
        <is>
          <t>Top 1 valor</t>
        </is>
      </c>
      <c r="U4" s="106" t="inlineStr">
        <is>
          <t>Top 2 nombre</t>
        </is>
      </c>
      <c r="V4" s="106" t="inlineStr">
        <is>
          <t>Top 2 valor</t>
        </is>
      </c>
      <c r="W4" s="106" t="inlineStr">
        <is>
          <t>Top 3 nombre</t>
        </is>
      </c>
      <c r="X4" s="106" t="inlineStr">
        <is>
          <t>Top 3 valor</t>
        </is>
      </c>
      <c r="Y4" s="106" t="inlineStr">
        <is>
          <t>Insight corto</t>
        </is>
      </c>
      <c r="Z4" s="106" t="inlineStr">
        <is>
          <t>Oportunidad / Nota</t>
        </is>
      </c>
    </row>
    <row r="5">
      <c r="A5" s="140" t="inlineStr">
        <is>
          <t>Marzo 2026</t>
        </is>
      </c>
      <c r="B5" s="107" t="inlineStr">
        <is>
          <t>Instagram</t>
        </is>
      </c>
      <c r="C5" s="116" t="n">
        <v>8231124</v>
      </c>
      <c r="D5" s="116" t="n">
        <v>6416616</v>
      </c>
      <c r="E5" s="116" t="n">
        <v>3962613</v>
      </c>
      <c r="F5" s="116" t="n">
        <v>3972683</v>
      </c>
      <c r="G5" s="116" t="n">
        <v>58723</v>
      </c>
      <c r="H5" s="116" t="n">
        <v>126125</v>
      </c>
      <c r="I5" s="117" t="n">
        <v>1.4</v>
      </c>
      <c r="J5" s="117" t="n">
        <v>3.2</v>
      </c>
      <c r="K5" s="116" t="n">
        <v>92</v>
      </c>
      <c r="L5" s="116" t="n">
        <v>82</v>
      </c>
      <c r="M5" s="116" t="n">
        <v>68</v>
      </c>
      <c r="N5" s="116" t="n">
        <v>13</v>
      </c>
      <c r="O5" s="116" t="n">
        <v>10</v>
      </c>
      <c r="P5" s="116" t="n">
        <v>0</v>
      </c>
      <c r="Q5" s="116" t="n">
        <v>1670000</v>
      </c>
      <c r="R5" s="116" t="n">
        <v>850000</v>
      </c>
      <c r="S5" s="107" t="inlineStr">
        <is>
          <t>Bubble Maybelline</t>
        </is>
      </c>
      <c r="T5" s="107" t="inlineStr">
        <is>
          <t>1,51M</t>
        </is>
      </c>
      <c r="U5" s="107" t="inlineStr">
        <is>
          <t>Check Bienvenida</t>
        </is>
      </c>
      <c r="V5" s="107" t="inlineStr">
        <is>
          <t>763K</t>
        </is>
      </c>
      <c r="W5" s="107" t="inlineStr">
        <is>
          <t>Make up SAMY</t>
        </is>
      </c>
      <c r="X5" s="107" t="inlineStr">
        <is>
          <t>1,69M</t>
        </is>
      </c>
      <c r="Y5" s="107" t="inlineStr">
        <is>
          <t>Visibilidad alta con engagement moderado</t>
        </is>
      </c>
      <c r="Z5" s="107" t="inlineStr">
        <is>
          <t>Pasar de piezas aisladas a series guardables.</t>
        </is>
      </c>
    </row>
    <row r="6">
      <c r="A6" s="141" t="inlineStr">
        <is>
          <t>Marzo 2026</t>
        </is>
      </c>
      <c r="B6" s="108" t="inlineStr">
        <is>
          <t>Facebook</t>
        </is>
      </c>
      <c r="C6" s="118" t="n">
        <v>3223306</v>
      </c>
      <c r="D6" s="118" t="n">
        <v>1905477</v>
      </c>
      <c r="E6" s="118" t="n">
        <v>1905477</v>
      </c>
      <c r="F6" s="118" t="n">
        <v>1119912</v>
      </c>
      <c r="G6" s="118" t="n">
        <v>4656</v>
      </c>
      <c r="H6" s="118" t="n">
        <v>3678</v>
      </c>
      <c r="I6" s="119" t="n">
        <v>0.2</v>
      </c>
      <c r="J6" s="119" t="n">
        <v>0.3</v>
      </c>
      <c r="K6" s="118" t="n">
        <v>31</v>
      </c>
      <c r="L6" s="118" t="n">
        <v>28</v>
      </c>
      <c r="M6" s="118" t="n">
        <v>19</v>
      </c>
      <c r="N6" s="118" t="n">
        <v>9</v>
      </c>
      <c r="O6" s="118" t="n">
        <v>2</v>
      </c>
      <c r="P6" s="118" t="n">
        <v>1</v>
      </c>
      <c r="Q6" s="118" t="n">
        <v>1000000</v>
      </c>
      <c r="R6" s="118" t="n">
        <v>1000000</v>
      </c>
      <c r="S6" s="108" t="inlineStr">
        <is>
          <t>Prod. $1.000</t>
        </is>
      </c>
      <c r="T6" s="108" t="inlineStr">
        <is>
          <t>526K</t>
        </is>
      </c>
      <c r="U6" s="108" t="inlineStr">
        <is>
          <t>Máscara Bubble</t>
        </is>
      </c>
      <c r="V6" s="108" t="inlineStr">
        <is>
          <t>508K</t>
        </is>
      </c>
      <c r="W6" s="108" t="inlineStr">
        <is>
          <t>SAMY</t>
        </is>
      </c>
      <c r="X6" s="108" t="inlineStr">
        <is>
          <t>531K</t>
        </is>
      </c>
      <c r="Y6" s="108" t="inlineStr">
        <is>
          <t>Liderazgo comunitario y buena respuesta a ofertas</t>
        </is>
      </c>
      <c r="Z6" s="108" t="inlineStr">
        <is>
          <t>Nota: stories incompletas por error de plataforma antes del 20 de marzo.</t>
        </is>
      </c>
    </row>
    <row r="7">
      <c r="A7" s="140" t="inlineStr">
        <is>
          <t>Marzo 2026</t>
        </is>
      </c>
      <c r="B7" s="107" t="inlineStr">
        <is>
          <t>TikTok</t>
        </is>
      </c>
      <c r="C7" s="116" t="n">
        <v>4522490</v>
      </c>
      <c r="D7" s="116" t="n">
        <v>3910125</v>
      </c>
      <c r="E7" s="116" t="n">
        <v>1904830</v>
      </c>
      <c r="F7" s="116" t="n">
        <v>2200681</v>
      </c>
      <c r="G7" s="116" t="n">
        <v>17148</v>
      </c>
      <c r="H7" s="116" t="n">
        <v>15914</v>
      </c>
      <c r="I7" s="117" t="n">
        <v>0.9</v>
      </c>
      <c r="J7" s="117" t="n">
        <v>0.7</v>
      </c>
      <c r="K7" s="116" t="n">
        <v>25</v>
      </c>
      <c r="L7" s="116" t="n">
        <v>34</v>
      </c>
      <c r="M7" s="116" t="n">
        <v>0</v>
      </c>
      <c r="N7" s="116" t="n">
        <v>0</v>
      </c>
      <c r="O7" s="116" t="n">
        <v>0</v>
      </c>
      <c r="P7" s="116" t="n">
        <v>0</v>
      </c>
      <c r="Q7" s="116" t="n">
        <v>1400000</v>
      </c>
      <c r="R7" s="116" t="n">
        <v>780000</v>
      </c>
      <c r="S7" s="107" t="inlineStr">
        <is>
          <t>Maquillaje principiantes</t>
        </is>
      </c>
      <c r="T7" s="107" t="inlineStr">
        <is>
          <t>2.880</t>
        </is>
      </c>
      <c r="U7" s="107" t="inlineStr">
        <is>
          <t>EGC Garnier</t>
        </is>
      </c>
      <c r="V7" s="107" t="inlineStr">
        <is>
          <t>630</t>
        </is>
      </c>
      <c r="W7" s="107" t="inlineStr">
        <is>
          <t>UGC hábitos piel</t>
        </is>
      </c>
      <c r="X7" s="107" t="inlineStr">
        <is>
          <t>1.387</t>
        </is>
      </c>
      <c r="Y7" s="107" t="inlineStr">
        <is>
          <t>Motor de visibilidad y autenticidad</t>
        </is>
      </c>
      <c r="Z7" s="107" t="inlineStr">
        <is>
          <t>Potenciar CTA a comentar, guardar y seguir.</t>
        </is>
      </c>
    </row>
  </sheetData>
  <dataValidations count="1">
    <dataValidation sqref="B5:B100" showDropDown="0" showInputMessage="0" showErrorMessage="0" allowBlank="0" type="list">
      <formula1>"Instagram,Facebook,TikTok"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38" customWidth="1" min="3" max="3"/>
    <col width="34" customWidth="1" min="4" max="4"/>
    <col width="48" customWidth="1" min="5" max="5"/>
    <col width="18" customWidth="1" min="6" max="6"/>
    <col width="44" customWidth="1" min="7" max="7"/>
  </cols>
  <sheetData>
    <row r="1">
      <c r="A1" s="104" t="inlineStr">
        <is>
          <t>Mapa slide por slide</t>
        </is>
      </c>
    </row>
    <row r="2">
      <c r="A2" s="105" t="inlineStr">
        <is>
          <t>Qué editar en Excel para que cambie cada parte de la presentación</t>
        </is>
      </c>
    </row>
    <row r="4">
      <c r="A4" s="106" t="inlineStr">
        <is>
          <t>Slide</t>
        </is>
      </c>
      <c r="B4" s="106" t="inlineStr">
        <is>
          <t>Nombre / objetivo</t>
        </is>
      </c>
      <c r="C4" s="106" t="inlineStr">
        <is>
          <t>Qué cambia en PPT</t>
        </is>
      </c>
      <c r="D4" s="106" t="inlineStr">
        <is>
          <t>Hoja que debes editar</t>
        </is>
      </c>
      <c r="E4" s="106" t="inlineStr">
        <is>
          <t>Campos principales</t>
        </is>
      </c>
      <c r="F4" s="106" t="inlineStr">
        <is>
          <t>Automatizado v03</t>
        </is>
      </c>
      <c r="G4" s="106" t="inlineStr">
        <is>
          <t>Notas</t>
        </is>
      </c>
    </row>
    <row r="5" ht="50" customHeight="1">
      <c r="A5" s="107" t="n">
        <v>1</v>
      </c>
      <c r="B5" s="107" t="inlineStr">
        <is>
          <t>Portada</t>
        </is>
      </c>
      <c r="C5" s="107" t="inlineStr">
        <is>
          <t>Cliente, mes, meta de portada, KPIs grandes</t>
        </is>
      </c>
      <c r="D5" s="107" t="inlineStr">
        <is>
          <t>00_Control / 09_Validaciones</t>
        </is>
      </c>
      <c r="E5" s="107" t="inlineStr">
        <is>
          <t>Cliente, Mes actual, Views, Alcance, Interacciones</t>
        </is>
      </c>
      <c r="F5" s="107" t="inlineStr">
        <is>
          <t>Sí</t>
        </is>
      </c>
      <c r="G5" s="107" t="inlineStr">
        <is>
          <t>Los KPIs grandes vienen de Overview.</t>
        </is>
      </c>
    </row>
    <row r="6" ht="50" customHeight="1">
      <c r="A6" s="108" t="n">
        <v>2</v>
      </c>
      <c r="B6" s="108" t="inlineStr">
        <is>
          <t>Dashboard ejecutivo</t>
        </is>
      </c>
      <c r="C6" s="108" t="inlineStr">
        <is>
          <t>KPIs totales, variaciones, inversión, lectura de negocio base</t>
        </is>
      </c>
      <c r="D6" s="108" t="inlineStr">
        <is>
          <t>09_Validaciones / 03_Paid_Media / 00_Control</t>
        </is>
      </c>
      <c r="E6" s="108" t="inlineStr">
        <is>
          <t>Views, Alcance, ER, Interacciones, Inversión, Mes anterior</t>
        </is>
      </c>
      <c r="F6" s="108" t="inlineStr">
        <is>
          <t>Sí parcial</t>
        </is>
      </c>
      <c r="G6" s="108" t="inlineStr">
        <is>
          <t>La narrativa sigue editable vía 07_Insights en la próxima fase.</t>
        </is>
      </c>
    </row>
    <row r="7" ht="50" customHeight="1">
      <c r="A7" s="107" t="n">
        <v>3</v>
      </c>
      <c r="B7" s="107" t="inlineStr">
        <is>
          <t>Qué cambió</t>
        </is>
      </c>
      <c r="C7" s="107" t="inlineStr">
        <is>
          <t>ER, inversión, contenidos y decisión recomendada</t>
        </is>
      </c>
      <c r="D7" s="107" t="inlineStr">
        <is>
          <t>09_Validaciones / 03_Paid_Media / 07_Insights</t>
        </is>
      </c>
      <c r="E7" s="107" t="inlineStr">
        <is>
          <t>ER actual, inversión actual, contenidos, hallazgo</t>
        </is>
      </c>
      <c r="F7" s="107" t="inlineStr">
        <is>
          <t>Sí parcial</t>
        </is>
      </c>
      <c r="G7" s="107" t="inlineStr">
        <is>
          <t>Los números cambian; textos largos aún se revisan manualmente.</t>
        </is>
      </c>
    </row>
    <row r="8" ht="50" customHeight="1">
      <c r="A8" s="108" t="n">
        <v>4</v>
      </c>
      <c r="B8" s="108" t="inlineStr">
        <is>
          <t>Portafolio de canales</t>
        </is>
      </c>
      <c r="C8" s="108" t="inlineStr">
        <is>
          <t>Views, alcance, ER y seguidores por plataforma</t>
        </is>
      </c>
      <c r="D8" s="108" t="inlineStr">
        <is>
          <t>13_Platform_KPIs / 02_Audience</t>
        </is>
      </c>
      <c r="E8" s="108" t="inlineStr">
        <is>
          <t>Views, Alcance, ER %, Interacciones, Seguidores</t>
        </is>
      </c>
      <c r="F8" s="108" t="inlineStr">
        <is>
          <t>Sí</t>
        </is>
      </c>
      <c r="G8" s="108" t="inlineStr">
        <is>
          <t>Cambio clave v03: sale de Excel, no de config/defaults.json.</t>
        </is>
      </c>
    </row>
    <row r="9" ht="50" customHeight="1">
      <c r="A9" s="107" t="n">
        <v>5</v>
      </c>
      <c r="B9" s="107" t="inlineStr">
        <is>
          <t>Instagram</t>
        </is>
      </c>
      <c r="C9" s="107" t="inlineStr">
        <is>
          <t>KPIs, seguidores, contenidos, presupuesto, formatos, top 3</t>
        </is>
      </c>
      <c r="D9" s="107" t="inlineStr">
        <is>
          <t>13_Platform_KPIs / 02_Audience</t>
        </is>
      </c>
      <c r="E9" s="107" t="inlineStr">
        <is>
          <t>Instagram: Views, Alcance, Interacciones, ER, Stories, Reels, Carruseles, Top 1-3</t>
        </is>
      </c>
      <c r="F9" s="107" t="inlineStr">
        <is>
          <t>Sí</t>
        </is>
      </c>
      <c r="G9" s="107" t="inlineStr">
        <is>
          <t>Editar fila Instagram en 13_Platform_KPIs.</t>
        </is>
      </c>
    </row>
    <row r="10" ht="50" customHeight="1">
      <c r="A10" s="108" t="n">
        <v>6</v>
      </c>
      <c r="B10" s="108" t="inlineStr">
        <is>
          <t>Facebook</t>
        </is>
      </c>
      <c r="C10" s="108" t="inlineStr">
        <is>
          <t>KPIs, seguidores, formatos, top 3, nota de data</t>
        </is>
      </c>
      <c r="D10" s="108" t="inlineStr">
        <is>
          <t>13_Platform_KPIs / 02_Audience</t>
        </is>
      </c>
      <c r="E10" s="108" t="inlineStr">
        <is>
          <t>Facebook: Views, Alcance, ER, Stories, Reels, Carruseles, Post, Top 1-3</t>
        </is>
      </c>
      <c r="F10" s="108" t="inlineStr">
        <is>
          <t>Sí</t>
        </is>
      </c>
      <c r="G10" s="108" t="inlineStr">
        <is>
          <t>Editar fila Facebook en 13_Platform_KPIs.</t>
        </is>
      </c>
    </row>
    <row r="11" ht="50" customHeight="1">
      <c r="A11" s="107" t="n">
        <v>7</v>
      </c>
      <c r="B11" s="107" t="inlineStr">
        <is>
          <t>TikTok</t>
        </is>
      </c>
      <c r="C11" s="107" t="inlineStr">
        <is>
          <t>KPIs, seguidores, edad, top 3 y oportunidad</t>
        </is>
      </c>
      <c r="D11" s="107" t="inlineStr">
        <is>
          <t>13_Platform_KPIs / 02_Audience</t>
        </is>
      </c>
      <c r="E11" s="107" t="inlineStr">
        <is>
          <t>TikTok: Views, Interacciones, ER, edad, Top 1-3</t>
        </is>
      </c>
      <c r="F11" s="107" t="inlineStr">
        <is>
          <t>Sí</t>
        </is>
      </c>
      <c r="G11" s="107" t="inlineStr">
        <is>
          <t>Editar fila TikTok en 13_Platform_KPIs y audiencia en 02_Audience.</t>
        </is>
      </c>
    </row>
    <row r="12" ht="50" customHeight="1">
      <c r="A12" s="108" t="n">
        <v>8</v>
      </c>
      <c r="B12" s="108" t="inlineStr">
        <is>
          <t>TikTok mix creativo</t>
        </is>
      </c>
      <c r="C12" s="108" t="inlineStr">
        <is>
          <t>UGC, EGC, extras/campañas por objetivo</t>
        </is>
      </c>
      <c r="D12" s="108" t="inlineStr">
        <is>
          <t>01_Content_Raw / 07_Insights</t>
        </is>
      </c>
      <c r="E12" s="108" t="inlineStr">
        <is>
          <t>Categoría, Views, Interacciones, ER, insight</t>
        </is>
      </c>
      <c r="F12" s="108" t="inlineStr">
        <is>
          <t>Pendiente</t>
        </is>
      </c>
      <c r="G12" s="108" t="inlineStr">
        <is>
          <t>Esta es la próxima conexión recomendada.</t>
        </is>
      </c>
    </row>
    <row r="13" ht="50" customHeight="1">
      <c r="A13" s="107" t="n">
        <v>9</v>
      </c>
      <c r="B13" s="107" t="inlineStr">
        <is>
          <t>Squad</t>
        </is>
      </c>
      <c r="C13" s="107" t="inlineStr">
        <is>
          <t>Totales y performance por integrante</t>
        </is>
      </c>
      <c r="D13" s="107" t="inlineStr">
        <is>
          <t>04_Squad</t>
        </is>
      </c>
      <c r="E13" s="107" t="inlineStr">
        <is>
          <t>Talento, Views, Alcance, Interacciones, ER %, Monto</t>
        </is>
      </c>
      <c r="F13" s="107" t="inlineStr">
        <is>
          <t>Sí</t>
        </is>
      </c>
      <c r="G13" s="107" t="inlineStr">
        <is>
          <t>Editar una fila por talento.</t>
        </is>
      </c>
    </row>
    <row r="14" ht="50" customHeight="1">
      <c r="A14" s="108" t="n">
        <v>10</v>
      </c>
      <c r="B14" s="108" t="inlineStr">
        <is>
          <t>MMPP</t>
        </is>
      </c>
      <c r="C14" s="108" t="inlineStr">
        <is>
          <t>KPIs, mix, comentario cualitativo</t>
        </is>
      </c>
      <c r="D14" s="108" t="inlineStr">
        <is>
          <t>05_MMPP</t>
        </is>
      </c>
      <c r="E14" s="108" t="inlineStr">
        <is>
          <t>Contenidos, Views, Alcance, Interacciones, ER, Comentario general</t>
        </is>
      </c>
      <c r="F14" s="108" t="inlineStr">
        <is>
          <t>Sí</t>
        </is>
      </c>
      <c r="G14" s="108" t="inlineStr">
        <is>
          <t>Editar primera fila o agregar más segmentos.</t>
        </is>
      </c>
    </row>
    <row r="15" ht="50" customHeight="1">
      <c r="A15" s="107" t="n">
        <v>11</v>
      </c>
      <c r="B15" s="107" t="inlineStr">
        <is>
          <t>Competencia</t>
        </is>
      </c>
      <c r="C15" s="107" t="inlineStr">
        <is>
          <t>Lecturas competitivas y señales por marca</t>
        </is>
      </c>
      <c r="D15" s="107" t="inlineStr">
        <is>
          <t>06_Competencia / 07_Insights</t>
        </is>
      </c>
      <c r="E15" s="107" t="inlineStr">
        <is>
          <t>Marca, Plataforma, Seguidores, Interacciones, Observación</t>
        </is>
      </c>
      <c r="F15" s="107" t="inlineStr">
        <is>
          <t>Pendiente</t>
        </is>
      </c>
      <c r="G15" s="107" t="inlineStr">
        <is>
          <t>Data estructurada lista; visual aún estática.</t>
        </is>
      </c>
    </row>
    <row r="16" ht="50" customHeight="1">
      <c r="A16" s="108" t="n">
        <v>12</v>
      </c>
      <c r="B16" s="108" t="inlineStr">
        <is>
          <t>Plan 30 días</t>
        </is>
      </c>
      <c r="C16" s="108" t="inlineStr">
        <is>
          <t>Prioridades y recomendaciones</t>
        </is>
      </c>
      <c r="D16" s="108" t="inlineStr">
        <is>
          <t>08_Recomendaciones</t>
        </is>
      </c>
      <c r="E16" s="108" t="inlineStr">
        <is>
          <t>Prioridad, Área, Recomendación, Impacto esperado</t>
        </is>
      </c>
      <c r="F16" s="108" t="inlineStr">
        <is>
          <t>Pendiente</t>
        </is>
      </c>
      <c r="G16" s="108" t="inlineStr">
        <is>
          <t>Próxima fase: tomar top 4 recomendaciones.</t>
        </is>
      </c>
    </row>
    <row r="18">
      <c r="A18" s="128" t="inlineStr">
        <is>
          <t>Nota v04</t>
        </is>
      </c>
      <c r="B18" s="142" t="inlineStr">
        <is>
          <t>El generador imprime alertas si falta data por mes/plataforma. Si falta dato en PPT se muestra "Dato pendiente".</t>
        </is>
      </c>
      <c r="C18" s="1" t="n"/>
      <c r="D18" s="1" t="n"/>
      <c r="E18" s="1" t="n"/>
      <c r="F18" s="1" t="n"/>
    </row>
  </sheetData>
  <mergeCells count="1">
    <mergeCell ref="B18:F1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18" customWidth="1" min="3" max="3"/>
    <col width="55" customWidth="1" min="4" max="4"/>
  </cols>
  <sheetData>
    <row r="1">
      <c r="A1" s="120" t="inlineStr">
        <is>
          <t>15_Checklist_Generacion</t>
        </is>
      </c>
    </row>
    <row r="2">
      <c r="A2" s="143" t="inlineStr">
        <is>
          <t>Checklist de control antes de generar la PPT. Las fórmulas dependen de 00_Control y hojas fuente.</t>
        </is>
      </c>
    </row>
    <row r="4">
      <c r="A4" s="144" t="inlineStr">
        <is>
          <t>Check</t>
        </is>
      </c>
      <c r="B4" s="144" t="inlineStr">
        <is>
          <t>Resultado esperado</t>
        </is>
      </c>
      <c r="C4" s="144" t="inlineStr">
        <is>
          <t>Estado</t>
        </is>
      </c>
      <c r="D4" s="144" t="inlineStr">
        <is>
          <t>Cómo corregir</t>
        </is>
      </c>
    </row>
    <row r="5" ht="32" customHeight="1">
      <c r="A5" s="123" t="inlineStr">
        <is>
          <t>Mes actual como texto</t>
        </is>
      </c>
      <c r="B5" s="123" t="inlineStr">
        <is>
          <t>00_Control!B6 debe verse como Marzo 2026</t>
        </is>
      </c>
      <c r="C5" s="123">
        <f>IF(ISNUMBER(00_Control!B6),"REVISAR","OK")</f>
        <v/>
      </c>
      <c r="D5" s="123" t="inlineStr">
        <is>
          <t>Selecciona celda, formato Texto, escribe 'Marzo 2026</t>
        </is>
      </c>
    </row>
    <row r="6" ht="32" customHeight="1">
      <c r="A6" s="123" t="inlineStr">
        <is>
          <t>Fila Instagram en KPIs</t>
        </is>
      </c>
      <c r="B6" s="123" t="inlineStr">
        <is>
          <t>Debe existir mes + plataforma en 13_Platform_KPIs</t>
        </is>
      </c>
      <c r="C6" s="123">
        <f>IF(COUNTIFS('13_Platform_KPIs'!$A:$A,00_Control!$B$6,'13_Platform_KPIs'!$B:$B,"Instagram")=1,"OK","REVISAR")</f>
        <v/>
      </c>
      <c r="D6" s="123" t="inlineStr">
        <is>
          <t>Duplicar fila del mes anterior y cambiar mes/plataforma.</t>
        </is>
      </c>
    </row>
    <row r="7" ht="32" customHeight="1">
      <c r="A7" s="123" t="inlineStr">
        <is>
          <t>Fila Facebook en KPIs</t>
        </is>
      </c>
      <c r="B7" s="123" t="inlineStr">
        <is>
          <t>Debe existir mes + plataforma en 13_Platform_KPIs</t>
        </is>
      </c>
      <c r="C7" s="123">
        <f>IF(COUNTIFS('13_Platform_KPIs'!$A:$A,00_Control!$B$6,'13_Platform_KPIs'!$B:$B,"Facebook")=1,"OK","REVISAR")</f>
        <v/>
      </c>
      <c r="D7" s="123" t="inlineStr">
        <is>
          <t>Duplicar fila del mes anterior y cambiar mes/plataforma.</t>
        </is>
      </c>
    </row>
    <row r="8" ht="32" customHeight="1">
      <c r="A8" s="123" t="inlineStr">
        <is>
          <t>Fila TikTok en KPIs</t>
        </is>
      </c>
      <c r="B8" s="123" t="inlineStr">
        <is>
          <t>Debe existir mes + plataforma en 13_Platform_KPIs</t>
        </is>
      </c>
      <c r="C8" s="123">
        <f>IF(COUNTIFS('13_Platform_KPIs'!$A:$A,00_Control!$B$6,'13_Platform_KPIs'!$B:$B,"TikTok")=1,"OK","REVISAR")</f>
        <v/>
      </c>
      <c r="D8" s="123" t="inlineStr">
        <is>
          <t>Duplicar fila del mes anterior y cambiar mes/plataforma.</t>
        </is>
      </c>
    </row>
    <row r="9" ht="32" customHeight="1">
      <c r="A9" s="123" t="inlineStr">
        <is>
          <t>Audiencia Instagram</t>
        </is>
      </c>
      <c r="B9" s="123" t="inlineStr">
        <is>
          <t>Debe existir mes + plataforma en 02_Audience</t>
        </is>
      </c>
      <c r="C9" s="123">
        <f>IF(COUNTIFS('02_Audience'!$A:$A,00_Control!$B$6,'02_Audience'!$B:$B,"Instagram")=1,"OK","REVISAR")</f>
        <v/>
      </c>
      <c r="D9" s="123" t="inlineStr">
        <is>
          <t>Completar seguidores y demografía.</t>
        </is>
      </c>
    </row>
    <row r="10" ht="32" customHeight="1">
      <c r="A10" s="123" t="inlineStr">
        <is>
          <t>Audiencia Facebook</t>
        </is>
      </c>
      <c r="B10" s="123" t="inlineStr">
        <is>
          <t>Debe existir mes + plataforma en 02_Audience</t>
        </is>
      </c>
      <c r="C10" s="123">
        <f>IF(COUNTIFS('02_Audience'!$A:$A,00_Control!$B$6,'02_Audience'!$B:$B,"Facebook")=1,"OK","REVISAR")</f>
        <v/>
      </c>
      <c r="D10" s="123" t="inlineStr">
        <is>
          <t>Completar seguidores y demografía.</t>
        </is>
      </c>
    </row>
    <row r="11" ht="32" customHeight="1">
      <c r="A11" s="123" t="inlineStr">
        <is>
          <t>Audiencia TikTok</t>
        </is>
      </c>
      <c r="B11" s="123" t="inlineStr">
        <is>
          <t>Debe existir mes + plataforma en 02_Audience</t>
        </is>
      </c>
      <c r="C11" s="123">
        <f>IF(COUNTIFS('02_Audience'!$A:$A,00_Control!$B$6,'02_Audience'!$B:$B,"TikTok")=1,"OK","REVISAR")</f>
        <v/>
      </c>
      <c r="D11" s="123" t="inlineStr">
        <is>
          <t>Completar seguidores y demografía.</t>
        </is>
      </c>
    </row>
    <row r="12" ht="32" customHeight="1">
      <c r="A12" s="123" t="inlineStr">
        <is>
          <t>MMPP activo</t>
        </is>
      </c>
      <c r="B12" s="123" t="inlineStr">
        <is>
          <t>Si la slide aplica, debe existir una fila activa</t>
        </is>
      </c>
      <c r="C12" s="123">
        <f>IF(COUNTIFS('05_MMPP'!$A:$A,00_Control!$B$6,'05_MMPP'!$J:$J,"Sí")&gt;=1,"OK","REVISAR")</f>
        <v/>
      </c>
      <c r="D12" s="123" t="inlineStr">
        <is>
          <t>Completar 05_MMPP o marcar Usar en PPT = Sí.</t>
        </is>
      </c>
    </row>
    <row r="13" ht="32" customHeight="1">
      <c r="A13" s="123" t="inlineStr">
        <is>
          <t>Pauta overview</t>
        </is>
      </c>
      <c r="B13" s="123" t="inlineStr">
        <is>
          <t>Debe haber inversión marcada para overview</t>
        </is>
      </c>
      <c r="C13" s="123">
        <f>IF(SUMIFS('03_Paid_Media'!$D:$D,'03_Paid_Media'!$A:$A,00_Control!$B$6,'03_Paid_Media'!$H:$H,"Sí")&gt;0,"OK","REVISAR")</f>
        <v/>
      </c>
      <c r="D13" s="123" t="inlineStr">
        <is>
          <t>Completar 03_Paid_Media e Incluir Overview = Sí.</t>
        </is>
      </c>
    </row>
    <row r="16">
      <c r="A16" s="145" t="inlineStr">
        <is>
          <t>Estado general</t>
        </is>
      </c>
      <c r="B16" s="146">
        <f>IF(COUNTIF(C5:C13,"REVISAR")&gt;0,"REVISAR","OK")</f>
        <v/>
      </c>
      <c r="C16" s="115" t="inlineStr">
        <is>
          <t>Antes de generar, corregir checks en REVISAR.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2026-05-12T14:58:24Z</dcterms:created>
  <dcterms:modified xmlns:dcterms="http://purl.org/dc/terms/" xmlns:xsi="http://www.w3.org/2001/XMLSchema-instance" xsi:type="dcterms:W3CDTF">2026-05-12T16:53:39Z</dcterms:modified>
</cp:coreProperties>
</file>